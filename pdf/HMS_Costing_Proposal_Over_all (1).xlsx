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ims/Downloads/"/>
    </mc:Choice>
  </mc:AlternateContent>
  <xr:revisionPtr revIDLastSave="0" documentId="13_ncr:1_{2C7F69CB-E401-AA4D-B9A0-AFA3291D6565}" xr6:coauthVersionLast="47" xr6:coauthVersionMax="47" xr10:uidLastSave="{00000000-0000-0000-0000-000000000000}"/>
  <bookViews>
    <workbookView xWindow="0" yWindow="660" windowWidth="25820" windowHeight="13900" tabRatio="500" xr2:uid="{00000000-000D-0000-FFFF-FFFF00000000}"/>
  </bookViews>
  <sheets>
    <sheet name="Original Data (Unchanged)" sheetId="1" r:id="rId1"/>
    <sheet name="Costed Proposal – OPD+IP+Trauma" sheetId="2" state="hidden" r:id="rId2"/>
    <sheet name="Added Modules (Trauma+Ortho)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3" l="1"/>
  <c r="D104" i="2"/>
  <c r="C104" i="2"/>
  <c r="B104" i="2"/>
  <c r="D103" i="2"/>
  <c r="D105" i="2" s="1"/>
  <c r="C103" i="2"/>
  <c r="C105" i="2" s="1"/>
  <c r="B103" i="2"/>
  <c r="B105" i="2" s="1"/>
  <c r="J99" i="2"/>
  <c r="I99" i="2"/>
  <c r="H99" i="2"/>
  <c r="C163" i="1"/>
</calcChain>
</file>

<file path=xl/sharedStrings.xml><?xml version="1.0" encoding="utf-8"?>
<sst xmlns="http://schemas.openxmlformats.org/spreadsheetml/2006/main" count="1459" uniqueCount="939">
  <si>
    <t>S.No</t>
  </si>
  <si>
    <t>Category</t>
  </si>
  <si>
    <t>Modules</t>
  </si>
  <si>
    <t>Functions</t>
  </si>
  <si>
    <t>Functional Breakdown (Detailed)</t>
  </si>
  <si>
    <t>Missing Features / Enhancements</t>
  </si>
  <si>
    <t>OPD</t>
  </si>
  <si>
    <t>Front Office</t>
  </si>
  <si>
    <t>Registration, ABHA, Appointments, Queue, Staff Mgmt</t>
  </si>
  <si>
    <t>1. PATIENT REGISTRATION WORKFLOW:
  • New Patient: Receptionist clicks 'New Patient' → Form captures Name, Age, Gender, Mobile, Aadhaar, Photo → System generates unique UHID → OTP verification via SMS → Record created in patients table
  • Existing Patient: Search by Mobile/UHID/Name → Auto-populate details → Update if changed
  • ABHA Integration: Click 'Link ABHA' → ABDM API call → Verify ABHA Number → Link to patient profile → Health Locker consent
2. APPOINTMENT MANAGEMENT:
  • Input: Doctor, Specialty, Date, Time Slot → System checks slot availability → Booking confirmed → SMS/WhatsApp confirmation sent
  • Reschedule: Select appointment → Choose new slot → Auto-notify patient
  • Cancel: Select → Reason capture → Refund trigger (if paid) → Slot released
3. QUEUE MANAGEMENT:
  • Token Generation: Appointment check-in → Token number assigned → Printed/SMS → Added to doctor queue
  • Live Queue: Real-time position display → Hold/Skip/Reorder by receptionist → WebSocket push to doctor dashboard + patient app
  • Walk-in: Quick registration → Auto-queue after scheduled patients
4. STAFF MANAGEMENT:
  • Create User: Admin → Add Staff → Assign Role (RBAC) → Set Department → Generate credentials
  • Doctor Schedule Config: Select Doctor → Set weekly slots → Block holidays → Publish
5. OUTPUTS: UHID card, Token print, Appointment confirmation SMS/WhatsApp, Queue display feed</t>
  </si>
  <si>
    <t>• Multi-language registration (Tamil/Hindi/English)
• Aadhaar e-KYC instant verification
• Emergency contact auto-capture
• Insurance card OCR scan
• AI photo-match for return visits
• Geo-fenced auto check-in (regulars)</t>
  </si>
  <si>
    <t>OPD / CPOE</t>
  </si>
  <si>
    <t>Doctor Dashboard, Consultation, ICD-10, E-Rx,Lab Orders</t>
  </si>
  <si>
    <t>1. DOCTOR QUEUE INTERFACE:
  • Doctor logs in → Dashboard shows live queue → Each patient card shows: Token #, Name, Pre-captured Vitals (BP, SpO2, Temp, Pulse), Wait Time
  • Click 'Start Consultation' → Opens patient workspace
2. CONSULTATION WORKFLOW:
  • Step 1: Chief Complaint → Free-text + Quick-pick templates
  • Step 2: Clinical Examination → Structured form + free notes
  • Step 3: ICD-10 Diagnosis → Search box with auto-suggest → Select Primary + Secondary codes → Severity tag
  • Step 4: Treatment Plan → Notes + Instructions to patient
3. E-PRESCRIPTION (E-Rx):
  • Drug search → Auto-suggest (brand/generic) → Select: Drug, Dose, Frequency, Duration, Route, Instructions
  • Drug Allergy Check: System cross-checks patient allergy list → Alert popup if match
  • Drug Interaction Check: System validates against co-prescribed drugs → Warning if conflict
  • Template Library: Doctor saves frequently used Rx combos → One-click apply
  • Output: Digital Rx pushed to Pharmacy module in real-time via WebSocket
4. LAB ORDERING:
  • Doctor selects tests from catalog → Priority flag (Routine/Urgent/STAT) → Order pushed to Lab dashboard → Patient notified
5. PATIENT HISTORY:
  • Timeline view: All past visits, diagnoses, prescriptions, lab results → Filterable by date/specialty
6. OUTPUTS: Consultation record, E-Prescription PDF, Lab Order, Follow-up appointment, Clinical notes print</t>
  </si>
  <si>
    <t>• AI clinical decision support (drug-diagnosis)
• Voice-to-text clinical notes
• Smart Rx: auto-suggest drugs per diagnosis
• Clinical pathway templates per diagnosis
• Patient education auto-share post-diagnosis
• Multi-specialty referral with shared notes</t>
  </si>
  <si>
    <t>Pharmacy</t>
  </si>
  <si>
    <t>Dispensing, Inventory, Expiry Alerts, OTC Billing</t>
  </si>
  <si>
    <t>1. PENDING PRESCRIPTION DASHBOARD:
  • Real-time feed of all e-prescriptions from all doctors via WebSocket → Each card shows: Patient Name, Doctor, Rx Items, Priority, Timestamp
  • Pharmacist clicks 'Dispense' to start workflow
2. DISPENSING WORKFLOW:
  • Step 1: Verify Rx → Check patient identity (UHID/Mobile)
  • Step 2: Pick medicines → Barcode scan each item → System validates batch, expiry, stock
  • Step 3: Partial fulfillment → If drug unavailable, mark partial → Suggest generic substitute (with doctor approval flag)
  • Step 4: Print label → Dosage instructions on each strip/bottle
  • Step 5: Bill generation → Auto-calculate pricing → Apply discounts → Payment collection
  • Step 6: Mark dispensed → Status update pushed to Doctor + Patient
3. INVENTORY MANAGEMENT:
  • Stock Register: Item-wise current stock, batch, expiry, location
  • Auto-Reorder: Stock falls below min level → System generates Purchase Indent → Alert to Store Manager
  • Expiry Alerts: 30/60/90-day expiry warnings → Dashboard widget + daily email
4. OTC BILLING:
  • Walk-in sales without prescription → Item search → Add to cart → Bill → Payment
5. NARCOTIC REGISTER:
  • Controlled substance log → Batch tracking → Double-verification → Regulatory report
6. OUTPUTS: Dispensing receipt, Inventory alerts, Expiry report, Sales analytics, Narcotic log</t>
  </si>
  <si>
    <t>• Drug-Drug interaction severity levels
• Patient medication counseling checklist
• Smart dispensing: bin location guidance
• Returns analytics by reason code
• Near-expiry auto-discount suggestion
• Controlled substance dual-authorization</t>
  </si>
  <si>
    <t>Laboratory</t>
  </si>
  <si>
    <t>Orders, Sample Tracking, Result Entry, PDF Reports</t>
  </si>
  <si>
    <t>1. ORDER RECEPTION:
  • Lab orders arrive from Doctor/ER/IP via system → Pending Orders Dashboard shows: Patient, Test(s), Priority, Ordering Doctor, Timestamp
2. SAMPLE COLLECTION:
  • Phlebotomist selects order → Generates barcode label → Affixes to sample tube → Scans to confirm collection → Status = 'Collected'
  • Sample Rejection: If hemolyzed/clotted/insufficient → Reject with reason → Auto-notify doctor + patient for recollect
3. RESULT ENTRY:
  • Technician selects test → Enter values → System auto-compares against reference range (age/gender specific)
  • Abnormal Flag: Out-of-range values highlighted RED → Critical values trigger instant push alert to ordering doctor
  • Delta Check: System compares current result vs previous result → Flags significant variance
  • Validation: Senior technician reviews → Approves → Result finalized
4. REPORT GENERATION:
  • Auto-generate branded PDF report → Include: Patient demographics, Test name, Result, Reference Range, Flag, Doctor name
  • Delivery: Available on Patient Portal + WhatsApp PDF push + Print at counter
5. LAB MACHINE INTEGRATION (HL7/ASTM):
  • Bi-directional: Orders sent to analyzer → Results received automatically → Mapped to patient → Reduces manual entry errors
6. TAT MONITORING:
  • Track: Order time → Collection time → Result time → Report time → Dashboard shows SLA compliance %
7. OUTPUTS: Lab report PDF, Critical alert notification, TAT analytics, NABL compliance report</t>
  </si>
  <si>
    <t>• POCT integration
• Auto-dilution calculation
• External lab order routing
• Cumulative patient report (all visits)
• Specimen chain-of-custody (medico-legal)
• Proficiency testing / EQA tracking</t>
  </si>
  <si>
    <t>OP Billing</t>
  </si>
  <si>
    <t>Master Bill, Razorpay, Digital Receipts, Revenue MIS,</t>
  </si>
  <si>
    <t>1. MASTER BILL CONSOLIDATION:
  • System auto-aggregates all charges: Consultation Fee + Pharmacy Bill + Lab Charges + Procedure Charges + Radiology + Other Services
  • Single unified bill view per patient per visit
2. PAYMENT PROCESSING:
  • Multi-mode: Cash / Card (POS integration) / UPI / Razorpay (QR code) / Net Banking / Wallet
  • Split Payment: Patient pays partial cash + partial card → System tracks both
  • Advance Payment: Collect deposit → Adjust against final bill
3. DIGITAL RECEIPT:
  • Auto-generate receipt with: Hospital logo, Patient details, Itemized charges, Payment mode, GST breakup, QR code for verification
  • Delivery: Print + WhatsApp + Email + Patient Portal
4. REVENUE MIS:
  • Dashboard: Daily/Weekly/Monthly revenue → Department-wise split → Doctor-wise earnings → Payer-wise (Self-Pay/Insurance/Corporate)
  • Doctor Payout: Auto-calculate consultation share → Generate payout report
5. DISCOUNT &amp; CONCESSION:
  • Predefined discount slabs → Approval matrix (&gt;10% needs Admin approval) → Discount reason mandatory → Audit trail
6. REFUND PROCESSING:
  • Initiate refund → Reason capture → Approval workflow → Refund processed → Credit note generated
7. OUTPUTS: Master bill PDF, Digital receipt, Revenue MIS report, Doctor payout sheet, GST report</t>
  </si>
  <si>
    <t>• QR code digital receipt verification
• Auto-GST with HSN code mapping
• Revenue forecast from appointment pipeline
• Bad debt provisioning &amp; write-off
• Patient wallet/prepaid balance
• EMI/installment payment option</t>
  </si>
  <si>
    <t>Emergency &amp; Day Care</t>
  </si>
  <si>
    <t>Fast-Track ER, Triage, Day Care Workflow</t>
  </si>
  <si>
    <t>1. QUICK REGISTRATION:
  • Minimal fields: Name, Age, Gender, Mobile, Chief Complaint → UHID generated in &lt;30 seconds
  • Stretcher/Wheelchair patients: Tag-based ID → Full registration post-stabilization
2. TRIAGE (ESI 5-LEVEL):
  • ER Nurse performs: Vital signs → Symptom assessment → ESI Level assignment (1=Resuscitation, 2=Emergent, 3=Urgent, 4=Less Urgent, 5=Non-Urgent)
  • Color-coded patient cards: Red/Orange/Yellow/Green/Blue
  • Auto-queue by severity, not arrival time
3. EMERGENCY BED MANAGEMENT:
  • Real-time bed availability → Quick assign → ER to IP transfer with one-click admission
4. MLC (MEDICO-LEGAL CASE):
  • MLC flag on patient → Auto-generate police intimation → Document injuries → Chain of custody log
5. DAY CARE WORKFLOW:
  • Day care booking → Package selection → Procedure execution → Post-procedure observation → Same-day discharge → Billing
6. ON-CALL DOCTOR ALERT:
  • System sends push notification + SMS to on-call doctor → Acknowledge button → ETA tracking
7. OUTPUTS: Triage tag, MLC register, ER statistics dashboard, Day care discharge summary</t>
  </si>
  <si>
    <t>• Mass casualty START triage protocol
• ER-to-IP seamless data transfer
• Trauma scoring (ISS/RTS/TRISS auto-calc)
• Poison info center integration
• Forensic documentation templates
• Real-time ER occupancy broadcast</t>
  </si>
  <si>
    <t>Dietician</t>
  </si>
  <si>
    <t>Diet Plans, Patient Assignment, Tracking</t>
  </si>
  <si>
    <t>1. PATIENT ASSIGNMENT:
  • Doctor refers patient → Dietician receives referral notification → Patient appears in dietician's queue
  • Walk-in: Receptionist books dietician appointment → Standard queue flow
2. NUTRITIONAL ASSESSMENT:
  • Input: Height, Weight, BMI auto-calc, Body composition, Medical history, Food allergies, Current diet recall (24-hour)
  • System generates nutritional gap analysis
3. DIET PLAN CREATION:
  • Template library: Diabetic, Cardiac, Renal, Post-Surgery, Pediatric, Geriatric, Weight Management
  • Customization: Meal-wise (Breakfast/Lunch/Snack/Dinner) → Food items + Quantity + Calories + Macros
  • Special considerations: Allergies, Religious preferences, Regional cuisine
4. IP DIET COORDINATION:
  • Diet plan pushed to Kitchen/Canteen module → Meal dispatch tracking → Patient feedback
5. TRACKING &amp; FOLLOW-UP:
  • Progress: Weight trend, BMI chart, Lab values (HbA1c, Lipid profile) → Visual graphs
  • Follow-up scheduling with reminder SMS
6. OUTPUTS: Diet plan PDF, Nutritional assessment report, Progress chart, Kitchen dispatch order</t>
  </si>
  <si>
    <t>• AI-based meal recommendation per condition
• Patient food preference learning
• Therapeutic diet cost tracking
• Meal delivery rating by patient
• Allergen cross-contamination alert
• Nutritional supplement inventory</t>
  </si>
  <si>
    <t>Dialysis</t>
  </si>
  <si>
    <t>Session Scheduling, Vitals Recording, Machine Tracking</t>
  </si>
  <si>
    <t>1. SESSION SCHEDULING:
  • Chronic patient registration → Recurring session booking (e.g., MWF) → Machine assignment based on availability
  • Emergency dialysis: Priority slot allocation
2. PRE-DIALYSIS ASSESSMENT:
  • Nurse records: Weight (dry weight comparison), BP, Temperature, Vascular access inspection → System flags concerns
3. INTRA-SESSION MONITORING:
  • Vital recording every 30 min: BP, Pulse, Temperature → Auto-plot trend chart
  • Machine Parameters: Blood flow rate, Dialysate flow, TMP, UF rate, UF volume
  • Complication logging: Hypotension, Cramps, Fever → Alert to nephrologist
4. MACHINE TRACKING:
  • Machine master: ID, Type, Last maintenance, Next service due → Utilization dashboard
  • Water quality log: RO plant readings, Bacteriology results, Endotoxin levels
5. POST-DIALYSIS:
  • Post-weight, BP → Actual UF volume → Session summary → Patient education notes
6. BILLING:
  • Per-session charge + Consumables → Package billing option → Insurance pre-auth integration
7. OUTPUTS: Session summary, Machine utilization report, Water quality log, Monthly dialysis summary</t>
  </si>
  <si>
    <t>• IoT machine vitals (pump RPM, conductivity)
• Automated water quality sensors
• Patient transport coordination
• Telemedicine follow-up for chronic patients
• Vascular access management module
• Kt/V adequacy auto-calculation</t>
  </si>
  <si>
    <t>Vaccination</t>
  </si>
  <si>
    <t>Schedules, Certificates, Reminders</t>
  </si>
  <si>
    <t>1. SCHEDULE MANAGEMENT:
  • Age-based vaccine calendar (NIS/IAP schedule) → Auto-generate due dates from DOB
  • Travel vaccines: Destination-based recommendation
2. ADMINISTRATION WORKFLOW:
  • Nurse selects patient → Verifies schedule → Scans vaccine barcode → Records: Vaccine name, Batch, Expiry, Site, Route, Dose
  • Adverse Event: AEFI documentation form → Mandatory reporting trigger
3. INVENTORY:
  • Cold chain tracking: Temperature log (IoT integration) → Alert if temp breach
  • Batch tracking: Vial open time, Multi-dose vial wastage tracking
4. CERTIFICATES:
  • Auto-generate: Vaccination certificate with QR code → Digital + Print → CoWIN sync
5. REMINDERS:
  • SMS/WhatsApp: 7 days before due → 1 day before → On due date → Overdue alert
6. OUTPUTS: Vaccination card, Certificate PDF, AEFI report, Coverage statistics, Due list</t>
  </si>
  <si>
    <t>• Cold chain IoT temperature sensors
• Vaccine forecast from birth rate data
• Multi-dose vial wastage reduction
• U-WIN government portal integration
• School vaccination camp management
• AEFI follow-up workflow</t>
  </si>
  <si>
    <t>Radiology</t>
  </si>
  <si>
    <t>Sessions, Treatment Plans, Progress Tracking</t>
  </si>
  <si>
    <t>1. ORDER MANAGEMENT:
  • Doctor orders radiology investigation → Specify: Modality (X-Ray/CT/MRI/USG), Body part, Clinical indication, Priority
  • Order appears on Radiology Worklist
2. SCHEDULING &amp; EXECUTION:
  • Slot booking by modality → Patient preparation instructions sent → Patient check-in → Technician performs scan
  • DICOM Modality Worklist (MWL): Patient demographics auto-pushed to scanner
3. IMAGE MANAGEMENT (PACS):
  • Images auto-archived to PACS → Web-based DICOM viewer → Radiologist views on workstation
  • Prior study comparison: System pulls previous studies for same body part
4. REPORTING:
  • Structured report template by modality → Findings + Impression → Radiologist e-signs
  • Critical Finding Alert: Urgent result → Immediate push to ordering doctor
5. PROGRESS TRACKING:
  • TAT: Order → Scan → Report → Delivery time tracking → SLA dashboard
  • Radiation dose log: Cumulative exposure per patient
6. OUTPUTS: Radiology report PDF, DICOM images via portal, Critical alert, TAT analytics</t>
  </si>
  <si>
    <t>• AI-assisted image annotation
• 3D reconstruction (CT/MRI)
• Voice dictation for reports
• Cumulative radiation dose tracking
• Contrast allergy pre-med protocol
• Peer review/quality audit module</t>
  </si>
  <si>
    <t>Health Check-Up</t>
  </si>
  <si>
    <t>1. PACKAGE CONFIGURATION:
  • Admin defines packages: Basic/Advanced/Executive/Corporate → Each includes: Lab tests + Radiology + Specialist consultations
  • Pricing: Package price (discounted) vs à la carte total → System shows savings
2. BOOKING WORKFLOW:
  • Patient/Corporate HR books package → Select tier → Choose date → Payment (advance) → Confirmation SMS
3. EXECUTION ROUTING:
  • Check-in → System generates task sequence: Vitals → Blood draw → Radiology → Doctor consult
  • Status board: Green=Done, Yellow=In Progress, Red=Pending per station
4. REPORT CONSOLIDATION:
  • All results auto-collated → Health Score calculated (composite index) → Doctor reviews + adds summary notes
  • Comparison: Current vs previous check-up results → Trend arrows (improving/declining)
5. CORPORATE MANAGEMENT:
  • Bulk employee upload → Schedule assignment → Batch execution → Corporate billing (B2B)
  • Corporate dashboard: Completion %, common findings, aggregate reports
6. OUTPUTS: Consolidated health report PDF, Health score card, Comparison chart, Corporate summary</t>
  </si>
  <si>
    <t>• AI health risk score from results
• Employer wellness dashboard (B2B)
• Lifestyle recommendation engine
• Population norm benchmarking
• Digital health passport
• Annual check-up auto-scheduler</t>
  </si>
  <si>
    <t>Packages</t>
  </si>
  <si>
    <t>Orders, Reports, Image Upload/Viewer</t>
  </si>
  <si>
    <t>1. ORDER MANAGEMENT:
  • Doctor orders imaging/test → Appears on worklist → Priority queue → Technician picks up
2. REPORT WORKFLOW:
  • Technician/Radiologist captures → Uploads images → Enters findings → Report auto-formatted
  • Templates: Pre-built per investigation type → Drop-down selections + free text
3. IMAGE UPLOAD/VIEWER:
  • Upload: DICOM, JPEG, PDF → Cloud storage → Viewer with zoom, pan, window/level
  • Patient access: Reports + images available on Patient Portal
4. OUTPUTS: Investigation report PDF, Image viewer link, Status tracking dashboard</t>
  </si>
  <si>
    <t>• Priority queue management
• Equipment maintenance-downtime alerts
• Patient prep SMS with instructions
• Report co-signing (Resident→Consultant)
• Urgent investigation fast-track pathway</t>
  </si>
  <si>
    <t>Vital Room</t>
  </si>
  <si>
    <t>Package Config, Booking, Reports</t>
  </si>
  <si>
    <t>1. PACKAGE CONFIGURATION:
  • Define service packages: Surgery bundles, Health check-ups, Procedure packages
  • Components: Services + Consumables + Bed charges + Doctor fees → Total package price
  • Inclusion/Exclusion rules: What's covered, caps per item
2. BOOKING:
  • Patient selects package → Date → Advance payment → Booking confirmed → Pre-op instructions sent
3. EXECUTION &amp; TRACKING:
  • Package activation on admission → All included services auto-authorized → Variance tracking: Actual vs Package amount
  • Excess charges: Flag and seek approval before billing beyond package limit
4. REPORTS:
  • Package utilization report → Revenue per package type → Variance analysis → Profitability per package
5. OUTPUTS: Package booking confirmation, Utilization report, Variance summary, Revenue analytics</t>
  </si>
  <si>
    <t>• Dynamic pricing by occupancy
• Package comparison tool (patient-facing)
• Insurance auto-mapped package selection
• Package profitability dashboard
• Patient co-pay estimator
• Package validity/expiry management</t>
  </si>
  <si>
    <t>Management</t>
  </si>
  <si>
    <t>Room Tracker, Nurse Vitals Interface</t>
  </si>
  <si>
    <t>1. ROOM/BED TRACKER:
  • Visual bed map: Ward-wise → Floor-wise → Color-coded: Green=Vacant, Red=Occupied, Yellow=Discharge-pending, Blue=Maintenance
  • Click on bed → Shows: Patient Name, Admission Date, Doctor, Expected Discharge
2. BED TRANSFER:
  • Transfer request → Select destination bed → Approval (if ICU) → Auto-update billing room charges
3. NURSE VITALS INTERFACE:
  • Bedside vital entry → BP, SpO2, Temp, Pulse, RR, Pain Score → Auto-chart on vital trend graph
  • Abnormal value → Auto-alert to attending doctor via push notification
4. INTAKE/OUTPUT CHART:
  • Input: IV fluids, Oral intake, Blood products → Output: Urine, Drain, Emesis → Auto-calculate balance
5. OCCUPANCY DASHBOARD:
  • Real-time: Total beds, Occupied, Vacant, Under maintenance → Occupancy % per ward → Trend analysis
6. OUTPUTS: Bed occupancy dashboard, Patient location map, Vital trend charts, I/O balance report</t>
  </si>
  <si>
    <t>• Predictive bed demand forecasting (ML)
• Auto housekeeping dispatch on discharge
• Patient fall detection (IoT wearable)
• Family visit scheduling via portal
• Patient satisfaction survey per ward</t>
  </si>
  <si>
    <t>Telemedicine</t>
  </si>
  <si>
    <t>Video Consult, Tele-Rx, Recording, Consent</t>
  </si>
  <si>
    <t>1. VIDEO CONSULTATION SETUP:
  • Patient books teleconsult slot (via Portal/App) → Payment online → Confirmation with video link (WebRTC)
  • Doctor receives schedule → Clicks 'Start Call' at slot time
2. CONSULTATION FLOW:
  • Waiting Room: Patient joins → Queue position shown → Auto-admit when doctor ready
  • During Call: HD Video/Audio → Screen share (reports) → Chat messaging → File upload (prescriptions, images)
  • Clinical: Doctor writes notes, ICD-10 code, E-Rx → Same workflow as in-person consultation
3. TELE-PRESCRIPTION:
  • E-Rx generated during call → Digitally signed → Pushed to Pharmacy/Patient Portal
  • Lab orders: Can order tests → Patient visits lab for sample collection
4. RECORDING &amp; CONSENT:
  • Pre-call consent form → Recording (if consented) → Stored encrypted → Accessible for medico-legal
5. OUTPUTS: Teleconsult record, E-Rx PDF, Call recording (encrypted), Follow-up appointment</t>
  </si>
  <si>
    <t>• AI symptom checker pre-consultation
• Multi-language teleconsult support
• E-pharmacy integration for delivery
• Remote vitals from patient home devices
• Second opinion workflow
• Group therapy session support</t>
  </si>
  <si>
    <t>Fertility</t>
  </si>
  <si>
    <t>Cycle Tracking, IVF/IUI Protocols, Outcomes</t>
  </si>
  <si>
    <t>1. PATIENT REGISTRATION:
  • Couple profile: Both partners linked → Medical history, Previous treatments, Hormone levels
2. CYCLE TRACKING:
  • Menstrual cycle log → Ovulation prediction → Hormone monitoring (LH, FSH, E2, Progesterone)
  • Ultrasound tracking: Follicle count + size per visit → Growth chart
3. IVF/IUI PROTOCOLS:
  • Protocol selection: Antagonist/Long Agonist/Natural/Mini-IVF → Medication schedule auto-generated
  • IUI: Sperm prep → Insemination → Luteal support → Beta-hCG scheduling
  • IVF: Stimulation → Trigger → OPU (egg retrieval count) → Fertilization → Embryo grading (Day 3/5) → Transfer → Cryopreservation
4. OUTCOME TRACKING:
  • Beta-hCG result → Clinical pregnancy confirmation → Ongoing pregnancy tracking
  • Analytics: Success rate per protocol, per doctor, per age group
5. OUTPUTS: Cycle summary, Embryo report, Outcome analytics, Treatment plan PDF</t>
  </si>
  <si>
    <t>• Embryo photo/video storage
• Cryopreservation inventory management
• Donor consent management
• Genetic counseling integration
• ML-based outcome prediction
• Multi-center data sharing (research)</t>
  </si>
  <si>
    <t>Procedure Console</t>
  </si>
  <si>
    <t>Scheduling, Documentation, Consent, Billing</t>
  </si>
  <si>
    <t>1. PROCEDURE SCHEDULING:
  • Doctor selects procedure type → Room assignment → Time slot → Patient notification → Pre-procedure instructions sent
2. DOCUMENTATION:
  • Pre-procedure: Consent capture (digital signature) → Checklist (allergies, fasting, medications)
  • During: Procedure notes → Findings → Complications (if any) → Photo/Video capture
  • Post-procedure: Recovery notes → Discharge instructions → Follow-up scheduling
3. CONSUMABLES &amp; BILLING:
  • Consumables used → Auto-deduct from inventory → Auto-add to patient bill
  • Procedure fee + Consumables + Anesthesia (if applicable) → Consolidated billing
4. CONSENT MANAGEMENT:
  • Template-based consent forms → Patient digital signature → Witness → Timestamped → Stored in MRD
5. OUTPUTS: Procedure report, Consent record, Billing entry, Post-procedure instructions PDF</t>
  </si>
  <si>
    <t>• Risk scoring &amp; informed consent auto-gen
• Real-time procedure video recording
• 30-day complication tracking
• Evidence-linked procedure templates
• Patient-reported outcome measures (PROMs)</t>
  </si>
  <si>
    <t>Doctor Mobile App
(iOS &amp; Android)</t>
  </si>
  <si>
    <t>Queue, Consult, Rx, Push, Offline</t>
  </si>
  <si>
    <t>1. SECURE LOGIN:
  • Doctor: Mobile/Email + Password → Biometric (fingerprint/face) → JWT token → Session management
2. LIVE QUEUE:
  • Real-time patient queue on phone → Pull-to-refresh → Push notification when patient checked in
  • Each patient card: Name, Token, Vitals (BP, SpO2, Temp), Chief Complaint
3. MOBILE CONSULTATION:
  • Quick clinical notes → Voice-to-text option → E-Prescription (drug search + template) → Lab ordering
4. PUSH NOTIFICATIONS:
  • Critical vitals alert → Lab result ready → New appointment → Emergency page → Prescription dispensed confirmation
5. OFFLINE MODE:
  • Consultation data cached locally → Sync when back online → Conflict resolution logic
6. OUTPUTS: Mobile Rx, Queue management, Notification center, Earnings dashboard</t>
  </si>
  <si>
    <t>• Wearable device data integration
• AI priority sorting of notifications
• Secure inter-doctor messaging
• Digital signature for notes/reports
• Multi-hospital dashboard</t>
  </si>
  <si>
    <t>Patient Mobile App
(iOS &amp; Android)</t>
  </si>
  <si>
    <t>Booking, Queue, Records, Lab, Push</t>
  </si>
  <si>
    <t>1. PATIENT LOGIN:
  • OTP-based (no password) → Enter Mobile → Receive OTP → Verify → JWT session → Profile auto-loaded
2. APPOINTMENT BOOKING:
  • Browse: Specialty → Doctor → Available slots → Select → Pay online (Razorpay) → Confirmation + Queue entry
3. LIVE QUEUE TRACKING:
  • Real-time position → Estimated wait time → Push notification: 'You are next' / 'Doctor is ready'
4. MEDICAL RECORDS ACCESS:
  • Past consultations timeline → Clinical notes (doctor-authorized visibility) → Prescriptions PDF download → Lab reports PDF download
5. FAMILY MANAGEMENT:
  • Add family members → Manage their appointments/records from single login
6. PUSH NOTIFICATIONS:
  • Appointment reminder → Queue update → Lab report ready → Bill generated → Follow-up due
7. OUTPUTS: Booking confirmation, Queue position widget, Records viewer, Report downloads</t>
  </si>
  <si>
    <t>• AI chatbot (symptom triage + doctor rec)
• Health goals &amp; wellness tracking
• Medication reminder with adherence score
• Teleconsult integration in-app
• Emergency SOS with location sharing
• Insurance claim status tracking</t>
  </si>
  <si>
    <t xml:space="preserve">IP </t>
  </si>
  <si>
    <t>Admission</t>
  </si>
  <si>
    <t>IP Admission, Bed Mgmt, Ward Config,Emergency Admit</t>
  </si>
  <si>
    <t>1. ADMISSION REQUEST:
  • Source: Doctor (from OPD) / Emergency / Direct → Admission form: Patient, Diagnosis, Expected LOS, Treating Doctor
2. BED MANAGEMENT:
  • Real-time bed availability dashboard → Filter by: Ward/Room Type/Floor → Select bed → Assign
  • Bed types: General Ward, Semi-Private, Private, ICU, NICU, HDU, Isolation
  • Ward Configuration: Admin sets room categories, bed count, tariff per bed type
3. ADMISSION WORKFLOW:
  • Step 1: Verify patient identity (UHID/ABHA)
  • Step 2: Admission form + Consent capture (General + Procedure-specific)
  • Step 3: Advance deposit collection → Receipt generation
  • Step 4: Bed assigned → Nursing assessment initiated → Diet order placed → Medication orders started
4. EMERGENCY ADMISSION:
  • Fast-track: Minimal fields → Bed assign → Stabilize → Complete registration later
5. INSURANCE PRE-AUTH TRIGGER:
  • If insurance patient → Auto-generate pre-auth request → Upload documents → Track approval status
6. OUTPUTS: Admission summary, Bed allocation slip, Deposit receipt, Bystander pass, Insurance pre-auth form</t>
  </si>
  <si>
    <t>• AI predicted length of stay
• Auto bed suggestion by acuity
• Pre-admission checklist completion
• Patient belongings inventory
• Auto-alert dietary/pharmacy on admit</t>
  </si>
  <si>
    <t>Discharge</t>
  </si>
  <si>
    <t>Discharge Summary, Final Bill, Follow-Up</t>
  </si>
  <si>
    <t>1. DISCHARGE PLANNING:
  • Doctor initiates discharge → System checks: All orders completed? Pending labs? Pending bills?
  • Discharge checklist: Medications reconciled, Follow-up scheduled, Instructions given, Consent signed
2. DISCHARGE SUMMARY:
  • Auto-populated template: Admission date, Diagnosis (ICD-10), Procedures performed, Key lab results, Treatment given, Condition at discharge
  • Doctor adds: Final notes, Discharge medications, Follow-up plan, Dietary advice, Activity restrictions
  • Digital signature → PDF generated → Pushed to Patient Portal
3. FINAL BILL:
  • System consolidates ALL charges: Room (per-day auto-posted) + Pharmacy + Lab + Procedure + OT + Consumables + Doctor fees
  • Deposit adjustment → Balance calculation → Payment processing
  • Insurance: Claim amount vs patient co-pay split
4. FOLLOW-UP:
  • Auto-schedule follow-up appointment → SMS/WhatsApp reminder → Post-discharge call (3-day) scheduled
5. BED RELEASE:
  • Discharge complete → Bed status = 'Housekeeping' → Cleaning confirmed → Bed = 'Available'
6. OUTPUTS: Discharge summary PDF, Final bill, Take-home medication list, Follow-up appointment card</t>
  </si>
  <si>
    <t>• Automated discharge readiness score
• Post-discharge remote monitoring
• Transport arrangement at discharge
• DAMA (Discharge Against Medical Advice)
• 30-day readmission tracking &amp; root cause
• Discharge satisfaction survey</t>
  </si>
  <si>
    <t>Nursing Station</t>
  </si>
  <si>
    <t>IP Vitals, MAR, Nursing Notes, Shift Handover</t>
  </si>
  <si>
    <t>1. WARD PATIENT DASHBOARD:
  • Bed-wise view: Patient Name, Diagnosis, Day of admission, Attending Doctor, Acuity level
  • Color-coded alerts: Red=Critical, Orange=Attention, Green=Stable
2. IP VITALS CHARTING:
  • Scheduled vital capture: BP, Pulse, Temp, SpO2, RR, Pain Score → Frequency as per doctor order (Q1H, Q4H, Q8H)
  • Auto-trend chart: Time-series graph per vital parameter → Abnormal flag → Alert to doctor
3. MEDICATION ADMINISTRATION RECORD (MAR):
  • Active medication list → Scheduled times → Nurse confirms: Given/Held/Refused → Barcode scan verification
  • Drug-time verification: Right Patient, Right Drug, Right Dose, Right Route, Right Time (5R check)
4. NURSING NOTES:
  • Structured: SBAR format (Situation, Background, Assessment, Recommendation) → Free-text option
  • Assessment tools: Fall Risk (Morse), Pressure Ulcer (Braden), Pain Scale, Glasgow Coma Scale
5. SHIFT HANDOVER:
  • Outgoing nurse completes handover form per patient → Incoming nurse acknowledges → Digital sign-off
  • Content: Active issues, Pending orders, Critical alerts, Family concerns
6. OUTPUTS: Vital trend chart, MAR log, Nursing notes, Handover document, Assessment scores</t>
  </si>
  <si>
    <t>• Nurse call bell with response time tracking
• Early warning score (NEWS2) auto-calc
• Sepsis screening protocol
• Restraint usage documentation
• Nursing workload balancing algorithm</t>
  </si>
  <si>
    <t>Nursing Mobile App(Android )</t>
  </si>
  <si>
    <t>Bedside Vitals, Barcode Scan, Push Alerts</t>
  </si>
  <si>
    <t>1. BEDSIDE VITALS ENTRY:
  • Nurse at bedside → Scan patient wristband QR → Patient verified → Enter vitals → Save → Auto-synced to Nursing Station
2. BARCODE MEDICATION VERIFICATION:
  • Scan patient wristband → Scan medication barcode → System verifies: Correct patient + Correct drug + Correct time → Green ✓ or Red ✗
3. PUSH ALERTS:
  • Critical vital → Immediate push notification on nurse phone → Acknowledge button → Escalation if no response in 5 min
  • Doctor orders: New medication/test → Push to assigned nurse
4. PHOTO CAPTURE:
  • Wound documentation → Take photo → Auto-tag with patient, date, location → Stored in medical record
5. OFFLINE MODE:
  • Data entry cached locally → Auto-sync when network restored → No data loss during connectivity gaps
6. OUTPUTS: Bedside vital records, Medication verification log, Wound photos, Task completion status</t>
  </si>
  <si>
    <t>• Wristband reprinting at bedside
• Voice-to-text nursing notes on mobile
• Medication admin photo documentation
• Real-time nurse location (RTLS)
• Emergency code activation from mobile</t>
  </si>
  <si>
    <t>IP Billing</t>
  </si>
  <si>
    <t>IP Master Bill, Per-Day Charges, TPA Pre-Auth</t>
  </si>
  <si>
    <t>1. IP MASTER BILL:
  • Running bill updated real-time: Room charges (auto-posted daily at midnight) + Pharmacy + Lab + Radiology + Procedure + OT + Blood + Consumables + Doctor visits + Nursing charges
2. PER-DAY CHARGES:
  • Automated: Bed type → Daily tariff → Auto-posted to bill at midnight → Room upgrade/downgrade auto-adjusts
3. TPA PRE-AUTHORIZATION:
  • Insurance patient → Generate pre-auth request → Upload: ID, Insurance card, Doctor letter, Estimated cost
  • Track: Submitted → Under Review → Approved/Rejected → Enhancement request if needed
  • Approved amount → System sets credit limit → Alerts when charges approach limit
4. INTERIM BILLING:
  • Patient/family can view running bill anytime → Interim bill print → Deposit top-up request
5. PACKAGE BILLING:
  • Surgery packages: Fixed price → All included services auto-authorized → Excess tracking → Variance report
6. OUTPUTS: Running bill statement, Pre-auth request, Interim bill, Final bill, Insurance claim form, Variance report</t>
  </si>
  <si>
    <t>• Real-time cost visibility for family
• Auto deposit top-up notification
• Package exhaustion alert to doctor
• Patient-friendly bill explainer
• Multi-currency (international patients)
• Dynamic pricing engine</t>
  </si>
  <si>
    <t>Operation Theatre</t>
  </si>
  <si>
    <t>OT Schedule, Pre/Intra/Post-Op Docs,Consumables</t>
  </si>
  <si>
    <t>1. OT SCHEDULING:
  • Surgeon requests OT slot → OT calendar shows availability → Room assignment → Team assignment (Surgeon, Anesthetist, OT Nurse, Scrub Nurse)
  • Emergency OT: Override scheduled cases → Priority booking
2. PRE-OP WORKFLOW:
  • WHO Surgical Safety Checklist: Sign In (before anesthesia) → Time Out (before incision) → Sign Out (before leaving OT)
  • Pre-op checklist: Consent ✓, NPO Status ✓, Blood availability ✓, Implants ready ✓, Site marking ✓
  • Anesthesia assessment: Anesthetist reviews → ASA grading → Anesthesia plan documented
3. INTRA-OP DOCUMENTATION:
  • Surgery notes: Procedure performed, Findings, Implants used (with serial numbers), Blood products used, Complications
  • Consumable tracking: Every item used → Barcode scanned → Auto-deduct from inventory → Auto-add to bill
4. POST-OP:
  • Recovery room: Vital monitoring → Pain management → Discharge criteria (Aldrete Score) → Transfer to ward
5. OT REPORTS:
  • Utilization: OT hours used/available → Surgeon-wise → Cancellation rate → Start-time compliance
6. OUTPUTS: OT schedule, WHO checklist, Surgery report, Implant log, OT utilization dashboard</t>
  </si>
  <si>
    <t>• SSI surveillance module
• Implant recall &amp; patient notification
• Robot-assisted surgery documentation
• OT environment monitoring (temp/humidity)
• Surgeon fatigue tracking
• Cost-per-surgery analytics</t>
  </si>
  <si>
    <t>Labour Room</t>
  </si>
  <si>
    <t>Labour Monitoring, Partograph, Delivery Docs,Newborn</t>
  </si>
  <si>
    <t>1. LABOUR ADMISSION:
  • Patient arrives → Quick admission → Gestational age, Gravida/Para, Membrane status, Cervical exam documented
2. PARTOGRAPH MONITORING:
  • Digital partograph: Cervical dilation plot, Descent plot, FHR, Contractions, Maternal vitals
  • Alert line + Action line: System alerts if labour crosses action line → Doctor notified
3. DELIVERY DOCUMENTATION:
  • Mode: Normal/Assisted/LSCS → Time of delivery → Baby details: Sex, Weight, APGAR (1min, 5min)
  • Complications: PPH, Shoulder dystocia, Cord prolapse → Documented + Alert triggered
4. NEWBORN MODULE:
  • Auto-registration: Baby of [Mother Name] → UHID generated → Birth weight, Length, Head circumference
  • Newborn examination: Congenital anomaly check → Hearing screen → Metabolic screen → Vaccination (BCG, OPV, HepB)
  • Mother-Baby linking: Wristband match → Prevents mix-up
5. BIRTH CERTIFICATE:
  • Auto-generated with all statutory fields → Print → Digital copy to parents
6. OUTPUTS: Partograph chart, Delivery record, APGAR card, Birth certificate, Newborn exam report</t>
  </si>
  <si>
    <t>• High-risk pregnancy alert system
• Maternal early warning (MEWS)
• PPH protocol trigger
• Skin-to-skin contact timer
• Breastfeeding initiation documentation
• Neonatal sepsis screening</t>
  </si>
  <si>
    <t>Blood Bank</t>
  </si>
  <si>
    <t>Donors, Inventory, Cross-Match, Issue Workflow</t>
  </si>
  <si>
    <t>1. DONOR MANAGEMENT:
  • Donor registration → Health screening questionnaire → Hemoglobin check → Eligibility determination
  • Donation: Collection bag barcode → Collection start/end time → Volume → Donor adverse event log
2. BLOOD INVENTORY:
  • Unit registration: Bag ID, Blood group, Rh type, Collection date, Expiry date, Component type (WB/PRBC/FFP/Platelets/Cryo)
  • Component preparation: Whole blood → Separation → Individual component tracking
  • Storage: Temperature monitoring → Expiry alert → FIFO dispatch
3. CROSS-MATCH &amp; ISSUE:
  • Transfusion request from doctor/OT → Blood group verification → Cross-match test → Compatibility result
  • Issue: Cross-match OK → Issue unit → Barcode scan at bedside before transfusion → Transfusion reaction monitoring
4. REGULATORY COMPLIANCE:
  • SBTC/NACO reporting → Mandatory testing (HIV, HBV, HCV, Syphilis, Malaria) → Documentation
5. OUTPUTS: Donor card, Cross-match report, Issue slip, Transfusion record, Inventory dashboard, Regulatory report</t>
  </si>
  <si>
    <t>• Component therapy guidelines
• Massive transfusion protocol activation
• Near-miss event reporting
• Platelet demand forecasting
• External blood bank network integration
• Autologous donation tracking</t>
  </si>
  <si>
    <t>IP Package</t>
  </si>
  <si>
    <t>Surgery Bundles, Package Billing, VarianceTracking</t>
  </si>
  <si>
    <t>1. PACKAGE DEFINITION:
  • Surgery bundles: Define package name → Include: OT charges, Surgeon fee, Anesthesia, Room (X days), Pharmacy, Lab, Consumables
  • Rate: Fixed package price → Insurance-specific tariff mapping
2. PACKAGE BILLING:
  • Patient admitted under package → All included services auto-authorized → Charges posted against package limit
  • System tracks: Consumed amount vs Package limit → Alert at 80% and 100% utilization
3. VARIANCE TRACKING:
  • Actual cost vs Package price → Positive variance (under budget) = hospital margin → Negative variance (over budget) = loss alert
  • Root cause: Which component exceeded? → Drill-down analytics
4. INSURANCE MAPPING:
  • Map hospital packages to TPA/Insurance company packages → Rate negotiation support → Auto pre-auth amount calculation
5. OUTPUTS: Package booking confirmation, Running utilization report, Variance analysis, Profitability dashboard</t>
  </si>
  <si>
    <t>• ML-based package pricing optimization
• Real-time cost trajectory prediction
• Clinical path deviation auto-alert
• Patient out-of-pocket estimator
• Package benchmarking across periods</t>
  </si>
  <si>
    <t>Doctor IP Mobile (iOS
&amp; Android)</t>
  </si>
  <si>
    <t>Ward Rounds, IP Orders, Push Alerts</t>
  </si>
  <si>
    <t>1. WARD ROUNDS:
  • Doctor opens IP app → See assigned patients list → Bed-wise view → Each card: Diagnosis, Day of stay, Recent vitals, Active medications
  • Click patient → Full IP chart: Notes, Orders, Results
2. IP ORDERS:
  • Doctor writes orders on phone: Medications (add/modify/stop), Lab tests, Radiology, Diet change, Nursing instructions
  • Orders pushed instantly to respective departments via WebSocket
3. PUSH ALERTS:
  • Critical lab result → Push to phone → Doctor acknowledges → Orders new action
  • Nurse escalation → Doctor receives alert → Responds with order
4. DISCHARGE INITIATION:
  • Doctor initiates discharge from phone → Discharge summary template pre-filled → Doctor completes → Submitted
5. OUTPUTS: IP order sheet, Mobile discharge summary, Alert acknowledgment log</t>
  </si>
  <si>
    <t>• Dictation mode for ward rounds
• Wound progress photo capture
• Inter-doctor secure chat
• Smart notification filtering
• Offline prescription with sync</t>
  </si>
  <si>
    <t xml:space="preserve">Non Clinical </t>
  </si>
  <si>
    <t>CASH COUNTER</t>
  </si>
  <si>
    <t>Multi-Counter Config, Shift Open/Close, Cash Reconciliation, Denomination Sheet, Digital Receipt, Daily Collection Summary, Advance Collection, Refund Processing</t>
  </si>
  <si>
    <t>1. COUNTER SETUP:
  • Admin configures multiple cash counters → Assign staff per shift → Shift open with starting cash balance
2. COLLECTION WORKFLOW:
  • Patient bill arrives → Cashier selects payment mode: Cash/Card/UPI/Cheque → Amount entered → Receipt generated
  • Split payment: Cash ₹500 + UPI ₹1,500 → Both recorded against same bill
3. SHIFT RECONCILIATION:
  • Shift close: System-calculated total vs Actual cash count → Denomination entry → Shortage/Excess flagged
  • Shift report: Total collections by mode, bills processed, refunds issued
4. ADVANCE &amp; REFUND:
  • Advance collection: Receipt with advance reference → Adjusted at final billing
  • Refund: Approval workflow → Refund processed → Original receipt linked
5. DAILY SUMMARY:
  • Auto-generated: Total collections, Mode-wise breakup, Counter-wise, Cashier-wise → Sent to Accounts
6. OUTPUTS: Payment receipt, Shift reconciliation report, Daily collection summary, Denomination sheet</t>
  </si>
  <si>
    <t>• UPI QR generation per bill
• Cash drawer integration
• Forex counter (international patients)
• Denomination calculator
• Night shift emergency collection</t>
  </si>
  <si>
    <t>ASSET MANAGEMENT</t>
  </si>
  <si>
    <t>Asset Register, Tag/Barcode, AMC/CMC Tracking, Depreciation Calc, Breakdown Log, Preventive Maintenance Schedule, Disposal Workflow, Location Tracking, Audit Trail</t>
  </si>
  <si>
    <t>1. ASSET REGISTRY:
  • Asset creation: Name, Category (Medical/Non-Medical/IT/Furniture), Purchase Date, Cost, Vendor, Warranty, Location, Department
  • Unique Tag: Barcode/QR label generated → Physical affixing → Location mapped
2. LIFECYCLE TRACKING:
  • Purchase → Installation → Active use → Maintenance/Repair → Decommission → Disposal
  • Each stage documented with dates, costs, and responsible person
3. AMC/CMC MANAGEMENT:
  • Contract entry: Vendor, Start/End date, Coverage scope, Cost → Renewal alerts 60/30 days before expiry
  • Service call logging: Issue description → Vendor notified → Resolution time tracked → SLA compliance
4. DEPRECIATION:
  • Method: SLM/WDV → Auto-calculate annual/monthly depreciation → Book value updated → Finance integration
5. PREVENTIVE MAINTENANCE:
  • Schedule: Frequency per asset → Auto-generate work orders → Completion tracking → Overdue alerts
6. AUDIT:
  • Physical verification: Staff scans asset barcode → Confirms location → Condition assessment → Discrepancy report
7. OUTPUTS: Asset register, AMC tracker, Depreciation schedule, Maintenance log, Audit discrepancy report</t>
  </si>
  <si>
    <t>• IoT asset tracking (RFID/BLE)
• Utilization rate analytics per asset
• Insurance claim for asset damage
• Green disposal/e-waste compliance
• Asset sharing booking system</t>
  </si>
  <si>
    <t>DIGITAL MRD</t>
  </si>
  <si>
    <t>Digital File Creation, ICD Coding, Scan &amp; Upload, Deficiency Check, Record Retrieval Log, Retention Policy, Medico-Legal Flag, File Movement Tracker, e-MRD Search</t>
  </si>
  <si>
    <t>1. DIGITAL FILE CREATION:
  • Patient visit → Medical record auto-created → Linked to UHID → All clinical docs (consultation, lab, radiology, discharge) auto-attached
2. ICD CODING:
  • MRD staff reviews discharge summary → Assigns/verifies ICD-10 codes → DRG grouping → Coding quality check
3. SCAN &amp; UPLOAD:
  • Physical documents → Scan station → OCR processing → Category tagging (Consent, Insurance, External Report) → Linked to patient record
4. RECORD RETRIEVAL:
  • Request: Doctor/Legal/Insurance → MRD staff searches by UHID/Name/Date → Retrieval log maintained → Return tracking
5. RETENTION POLICY:
  • Rules: Adult records = 7 years, Minor = 7 years after 18th birthday, Medico-legal = Indefinite
  • Auto-flag records approaching retention end → Review → Archive or Destroy (with audit log)
6. MEDICO-LEGAL FLAG:
  • Tagged records: Cannot be deleted/modified without dual approval → Complete audit trail
7. OUTPUTS: Digital patient file, Coding accuracy report, Retrieval log, Retention compliance report</t>
  </si>
  <si>
    <t>• AI auto-coding from discharge summaries
• NLP clinical data extraction (research)
• HIPAA/DISHA compliance checker
• Inter-hospital record sharing
• Patient portal record access request</t>
  </si>
  <si>
    <t>DOCUMENT MANAGEMENT</t>
  </si>
  <si>
    <t>Document Upload/Scan, Version Control, Category Tagging, Role-Based Access, OCR Search, Template Library, Approval Workflow, Expiry/Renewal Alert, Digital Archive</t>
  </si>
  <si>
    <t>1. DOCUMENT UPLOAD/SCAN:
  • Upload: PDF, Image, Word → OCR text extraction → Full-text searchable
  • Categories: Policies, SOPs, Licenses, Contracts, Training materials, Circulars
2. VERSION CONTROL:
  • New upload of existing doc → System creates Version 2 → Old version archived → Change log maintained
  • Comparison: Diff view between versions
3. ACCESS CONTROL:
  • Role-based: Department-level access → Read/Write/Admin → Download permissions per document
4. APPROVAL WORKFLOW:
  • Document submission → Reviewer assigned → Approve/Reject/Request changes → Published to department
5. EXPIRY &amp; RENEWAL:
  • Licenses/Contracts: Expiry date tracked → Alert 90/60/30 days → Renewal task auto-created
6. SEARCH:
  • Full-text search → Filter by: Category, Department, Date, Author → Quick access bookmarks
7. OUTPUTS: Document repository, Version history, Expiry dashboard, Approval audit trail</t>
  </si>
  <si>
    <t>• E-signature for document approval
• Multilingual document support
• Auto-fill templates from patient data
• Regulatory compliance checker
• Bulk expiry renewal management</t>
  </si>
  <si>
    <t>PURCHASE</t>
  </si>
  <si>
    <t>Purchase Indent, Vendor Quotation, Comparative Statement, Purchase Order, GRN, Invoice Matching (3-Way), Approval Matrix, Rate Contract, Repeat Order, PO Amendment</t>
  </si>
  <si>
    <t>1. PURCHASE INDENT:
  • Department raises indent → Item, Quantity, Urgency, Justification → Routing: HOD Approval → Purchase Dept
2. VENDOR QUOTATION:
  • RFQ generated → Sent to registered vendors → Quotations received → Entered in system
3. COMPARATIVE STATEMENT:
  • Auto-generated: Vendor-wise comparison → Price, Delivery time, Quality score, Past performance → Highlights lowest/best
4. PURCHASE ORDER:
  • PO creation from selected quotation → Terms &amp; Conditions → Approval matrix → PO sent to vendor
  • Amendment: PO modification with version tracking
5. GRN (GOODS RECEIVED NOTE):
  • Material arrives → GRN entry: PO reference, Quantity received, Quality check → Accept/Reject/Partial
6. INVOICE MATCHING (3-WAY):
  • PO vs GRN vs Invoice → System auto-matches → Discrepancies flagged → Approved for payment
7. RATE CONTRACT:
  • Long-term pricing agreement with vendor → Auto-applied on PO → Rate revision tracking
8. OUTPUTS: Purchase indent, Comparative statement, PO, GRN, Invoice matching report, Rate contract</t>
  </si>
  <si>
    <t>• Vendor rating algorithm
• Emergency purchase fast-track
• Budget vs actual tracking
• Vendor self-service portal
• AI demand forecasting for procurement</t>
  </si>
  <si>
    <t>STORES/INVENTORY</t>
  </si>
  <si>
    <t>Item Master, Stock Register, GRN, Issue/Return, Min/Max/Reorder Level, Batch &amp; Expiry Tracking, ABC/VED Analysis, Physical Stock Count, Inter-Store Transfer, Dead Stock Alert</t>
  </si>
  <si>
    <t>1. ITEM MASTER:
  • Comprehensive item database: Name, Code, Category, UoM, Reorder Level, Min/Max stock, HSN code, Tax %
  • Generic-Brand mapping for medicines
2. STOCK REGISTER:
  • Real-time: Item-wise → Batch-wise → Location-wise stock → Valuation (FIFO/Weighted Average)
3. GRN &amp; ISSUE:
  • Inward: GRN from Purchase → Quality check → Shelving → Stock updated
  • Issue: Department indent → Store approves → Issues material → Stock deducted → Recipient acknowledges
  • Return: Department returns unused → Store receives → Stock credited
4. BATCH &amp; EXPIRY:
  • Every item tracked by batch → Expiry date → FEFO (First Expiry First Out) dispatch → 30/60/90 day expiry alerts
5. ANALYSIS:
  • ABC: Items classified by consumption value (A=High, B=Medium, C=Low)
  • VED: Classified by criticality (Vital, Essential, Desirable)
  • ABC-VED Matrix: Combined priority for procurement planning
6. INTER-STORE TRANSFER:
  • Transfer request → Approval → Dispatch → Receipt → Both store stocks updated
7. PHYSICAL COUNT:
  • Cycle count schedule → Count entry → Variance report → Adjustment with approval
8. OUTPUTS: Stock register, Expiry alert report, ABC-VED analysis, Stock variance report, Transfer log</t>
  </si>
  <si>
    <t>• RFID stock movement tracking
• Temperature-sensitive zone management
• Dead stock auto-identification
• Multi-unit conversion (strip↔box↔case)
• Safety stock auto-calculation</t>
  </si>
  <si>
    <t>CONSIGNMENT</t>
  </si>
  <si>
    <t>Consignment Vendor Setup, Implant/Device Log, Usage-Based Billing, Consignment Stock Register, Auto PO on Consumption, Expiry Tracking, Vendor Reconciliation</t>
  </si>
  <si>
    <t>1. CONSIGNMENT VENDOR SETUP:
  • Vendor agreement: Items on consignment → Commission/pricing terms → Storage location in hospital
2. IMPLANT/DEVICE LOG:
  • Each consignment item: Serial number, Batch, Expiry, Vendor, Cost → Barcode tracked
  • Implants: Patient-implant linking for traceability (regulatory requirement)
3. USAGE-BASED BILLING:
  • Item used during surgery/procedure → Scan barcode → Linked to patient → Auto-PO generated to vendor
  • Monthly reconciliation: Items used → Invoice from vendor → Payment processing
4. STOCK MANAGEMENT:
  • Consignment stock separate from owned stock → Physical count → Discrepancy resolution with vendor
5. EXPIRY MANAGEMENT:
  • Near-expiry consignment items → Return to vendor workflow → No financial loss to hospital
6. OUTPUTS: Consignment stock register, Usage report, Vendor reconciliation, Auto-PO, Expiry return note</t>
  </si>
  <si>
    <t>• Real-time consignment value tracking
• Vendor auto-billing on consumption
• Implant registry with patient trace
• Expired item auto-return processing
• Consignment audit checklist</t>
  </si>
  <si>
    <t>CONSUMPTION ENTRY</t>
  </si>
  <si>
    <t>Department-Wise Consumption, Ward Stock Issue, Auto Deduction on Billing, Consumption Report, Cost Centre Mapping, Variance Alert, Item-Wise Usage Trend</t>
  </si>
  <si>
    <t>1. DEPARTMENT-WISE CONSUMPTION:
  • Each department's material usage tracked → Cost centre mapped → Monthly consumption report
2. WARD STOCK ISSUE:
  • Ward indent → Store issues → Nurse acknowledges → Consumed against admitted patients
3. AUTO DEDUCTION ON BILLING:
  • When consumable billed to patient → Inventory auto-deducted → No manual stock adjustment needed
4. COST CENTRE MAPPING:
  • Every consumption linked to: Department + Cost Centre + Budget head → Enables profitability analysis per department
5. VARIANCE MONITORING:
  • Actual consumption vs Budget → Alert if &gt;10% deviation → Monthly variance report to management
6. ITEM-WISE TREND:
  • Consumption trend: Daily/Weekly/Monthly → Seasonal patterns → Forecasting for procurement planning
7. OUTPUTS: Consumption report (dept-wise), Variance analysis, Trend chart, Cost centre report</t>
  </si>
  <si>
    <t>• Budget allocation per dept per quarter
• AI consumption anomaly detection
• Paperless indent-to-consumption
• Benchmarking against bed capacity
• Waste reduction analytics</t>
  </si>
  <si>
    <t>ACCOUNTS</t>
  </si>
  <si>
    <t>General Ledger, Accounts Payable, Accounts Receivable, Bank Reconciliation, Journal Entries, TDS/GST Computation, Trial Balance, P&amp;L, Balance Sheet, MIS Reports</t>
  </si>
  <si>
    <t>1. GENERAL LEDGER:
  • Chart of Accounts setup → Journal entries (auto from Billing/Purchase/Payroll + manual) → Ledger posting → Trial Balance
2. ACCOUNTS PAYABLE:
  • Vendor invoice entry → 3-way match verification → Payment scheduling → Cheque/NEFT/RTGS processing → Payment advice to vendor
3. ACCOUNTS RECEIVABLE:
  • Patient outstanding → Insurance receivable → Corporate receivable → Aging analysis (0-30, 31-60, 61-90, 90+) → Follow-up alerts
4. BANK RECONCILIATION:
  • Bank statement import (CSV/MT940) → Auto-match with book entries → Unmatched items flagged → Manual reconciliation → BRS report
5. TAX COMPLIANCE:
  • TDS computation → TDS return data → GST computation → GSTR-1/3B data → Professional Tax → ESI/PF contribution tracking
6. FINANCIAL REPORTS:
  • Trial Balance, P&amp;L Statement, Balance Sheet → Department-wise P&amp;L → Cash flow → Fund flow → Budget vs Actual
7. OUTPUTS: Trial Balance, P&amp;L, Balance Sheet, Aging report, BRS, TDS/GST reports</t>
  </si>
  <si>
    <t>• IndAS revenue recognition automation
• Multi-branch consolidation
• Fixed asset accounting integration
• Internal audit with sampling
• Cost centre P&amp;L (management accounting)</t>
  </si>
  <si>
    <t>HR &amp; PAYROLL</t>
  </si>
  <si>
    <t>Employee Master, Attendance Integration, Leave Management, Salary Structure, Payslip Generation, PF/ESI/PT Calc, Loan &amp; Advance, Full &amp; Final, Statutory Reports, IT Declaration</t>
  </si>
  <si>
    <t>1. EMPLOYEE MASTER:
  • Profile: Personal details, Qualification, Experience, Department, Designation, Reporting manager, Bank details, Emergency contact
  • Documents: Photo, ID proofs, Certificates → Digital storage
2. ATTENDANCE:
  • Biometric integration → Punch-In/Out → Late/Early/OT auto-calculated → Shift mapping → Exception handling
3. LEAVE MANAGEMENT:
  • Leave types: CL, EL, SL, ML, Comp-Off → Application → Manager approval → Balance updated → Leave encashment
4. PAYROLL:
  • Salary structure: Basic + HRA + DA + Special Allowance + Other → Deductions: PF, ESI, PT, TDS, Loan EMI
  • Monthly processing: Attendance days → Gross calc → Deductions → Net salary → Bank file generation → Payslip
5. STATUTORY:
  • PF: Monthly ECR generation → Payment challan
  • ESI: Contribution calculation → Payment
  • PT: State-wise slab → Deduction → Return
  • TDS: Tax declaration → Provisional deduction → Year-end adjustment → Form 16
6. LOAN &amp; ADVANCE:
  • Salary advance request → Approval → Disbursement → EMI deduction from salary
7. FULL &amp; FINAL:
  • Resignation/Termination → Notice period calc → Leave encashment → Asset return → Gratuity → Final settlement
8. OUTPUTS: Payslip, PF ECR, ESI challan, PT return, Form 16, F&amp;F statement, Attendance report</t>
  </si>
  <si>
    <t>• Employee self-service portal (ESS)
• Recruitment pipeline tracker
• Training &amp; competency mapping
• 360° performance appraisal
• Engagement survey module
• Succession planning</t>
  </si>
  <si>
    <t>MOBILE APPS – UTILITY(ANDROID)</t>
  </si>
  <si>
    <t>Staff Directory, Attendance Mark, Leave Apply, Payslip View, Announcements, IT Declaration, Help Desk Ticket, Push Notifications, Document Upload</t>
  </si>
  <si>
    <t>1. STAFF DIRECTORY:
  • Search employees by name/department → View profile → Quick call/message
2. ATTENDANCE:
  • Mark attendance via mobile (geo-fenced) → View monthly attendance summary → Regularization request
3. LEAVE MANAGEMENT:
  • Apply leave from phone → Manager gets push notification → Approve/Reject → Balance updated instantly
4. PAYSLIP:
  • View monthly payslip → Download PDF → View YTD earnings &amp; deductions
5. ANNOUNCEMENTS:
  • Hospital-wide / Department-specific announcements → Push notifications → Read receipts
6. HELP DESK:
  • Raise IT/Maintenance/Admin tickets → Track status → Resolution notification
7. DOCUMENT UPLOAD:
  • Submit: Tax declarations, Reimbursement claims, Certificates → Approval tracking
8. OUTPUTS: Mobile attendance, Leave status, Payslip PDF, Ticket status, Announcement feed</t>
  </si>
  <si>
    <t>• Geo-fenced attendance verification
• Emergency SOS button
• Cafeteria meal booking from app
• Internal job posting &amp; application
• Team calendar &amp; shift swap request</t>
  </si>
  <si>
    <t>REPORTS</t>
  </si>
  <si>
    <t>MIS Dashboard, Department-Wise Revenue, Doctor-Wise Collection, Payer-Wise Report, Outstanding Aging, Daily/Weekly/Monthly Summary, Custom Report Builder, Export (PDF/Excel), Scheduled Reports</t>
  </si>
  <si>
    <t>1. MIS DASHBOARD:
  • Real-time: OPD footfall, IP census, Revenue today, Collection today, Outstanding → Auto-refresh
  • Drill-down: Click any metric → Department-wise → Doctor-wise → Date-wise detail
2. REVENUE REPORTS:
  • Department-wise revenue, Doctor-wise collection, Service-wise breakup, Payer-wise (Self/Insurance/Corporate)
  • Trend: Daily/Weekly/Monthly/Yearly comparison → Growth % calculation
3. CLINICAL REPORTS:
  • Disease-wise statistics (ICD-10 based), Lab TAT, OT utilization, Average LOS, Readmission rate
4. OPERATIONAL REPORTS:
  • Bed occupancy %, ER volume, Pharmacy sales, Lab test volume, Appointment no-show rate
5. CUSTOM REPORT BUILDER:
  • Drag-and-drop fields → Filter conditions → Group by → Aggregate functions → Save as template → Schedule auto-run
6. EXPORT:
  • All reports exportable: PDF, Excel, CSV → Email scheduling → Dashboard embedding
7. OUTPUTS: MIS dashboard, Revenue MIS, Clinical reports, Custom reports, Scheduled email reports</t>
  </si>
  <si>
    <t>• NLP query ('show me last month OPD revenue')
• Automated anomaly detection in metrics
• Board-level presentation auto-gen
• Regulatory auto-submission (NRHM/HMIS)
• Multi-branch comparative analytics</t>
  </si>
  <si>
    <t>B2B BILLING</t>
  </si>
  <si>
    <t>Corporate Client Master, Credit Billing, Invoice Generation, Statement of Account, Payment Follow-Up, Credit Limit Config, Bulk Invoice, TDS Certificate, Revenue Reconciliation</t>
  </si>
  <si>
    <t>1. CORPORATE CLIENT MASTER:
  • Company profile: Name, GST, Address, Contract terms, Credit limit, Discount %, TPA linkage, Payment terms
2. CREDIT BILLING:
  • Employee visits → Bill generated under corporate account → Credit limit checked → If within limit, auto-approved
  • Limit exceeded → Alert to billing + Corporate HR notification
3. INVOICE GENERATION:
  • Periodic (Weekly/Fortnightly/Monthly) → Consolidate all employee bills → Generate corporate invoice → GST compliant
4. STATEMENT OF ACCOUNT:
  • Running balance: Opening + Invoices – Payments – Credit Notes = Outstanding → Shared with corporate
5. PAYMENT FOLLOW-UP:
  • Aging: 0-30/31-60/61-90/90+ → Auto-reminder emails at thresholds → Escalation matrix
6. TDS CERTIFICATE:
  • If corporate deducts TDS → Certificate upload → Reconciliation → Credit to hospital account
7. REVENUE RECONCILIATION:
  • Corporate collections vs Outstanding → Department-wise corporate revenue → Profitability per corporate client
8. OUTPUTS: Corporate invoice, Statement of account, Aging report, TDS reconciliation, Revenue analytics</t>
  </si>
  <si>
    <t>• Corporate employee health dashboard
• Contract auto-renewal reminders
• Employee utilization per corporate
• Volume-based dynamic pricing
• Corporate satisfaction survey</t>
  </si>
  <si>
    <t>AMBULANCE MANAGEMENT</t>
  </si>
  <si>
    <t>Vehicle Register, Trip Sheet, Driver Assignment, GPS Tracking, Patient Pickup Request, Fuel Log, Maintenance Schedule, Emergency Dispatch, Billing Integration, Response Time Log</t>
  </si>
  <si>
    <t>1. VEHICLE REGISTER:
  • Fleet master: Vehicle ID, Type (ALS/BLS), Registration, Insurance, Fitness certificate, GPS device ID
2. TRIP MANAGEMENT:
  • Request: Patient/Hospital initiates → Dispatch assigns vehicle + driver → Route planned
  • Trip sheet: Start time, Start KM, Patient pickup, Hospital arrival, End KM, End time
3. GPS TRACKING:
  • Real-time vehicle location → ETA to patient/hospital → Route history → Speed monitoring
4. DRIVER MANAGEMENT:
  • Driver profile: License, Medical fitness, Training certifications → Shift assignment → Performance score
5. EMERGENCY DISPATCH:
  • 108/Emergency call → Nearest available ambulance auto-selected → Driver alerted → GPS tracking active
  • Response time tracking: Call → Dispatch → Arrival → Hospital → SLA compliance
6. BILLING:
  • Per-trip billing → Distance-based / Flat rate → Integration with patient bill or separate
7. MAINTENANCE:
  • Vehicle service schedule → Fuel log → Breakdown log → Maintenance cost tracking
8. OUTPUTS: Trip sheet, GPS tracking dashboard, Response time report, Fleet utilization report, Fuel log</t>
  </si>
  <si>
    <t>• Equipment checklist per trip
• Patient monitoring during transport
• Inter-hospital transfer coordination
• Insurance/permit management
• 108/112 emergency integration</t>
  </si>
  <si>
    <t>Enabler Modules</t>
  </si>
  <si>
    <t>DATA ANALYTICS</t>
  </si>
  <si>
    <t>Real-Time Dashboard, KPI Scorecards, Drill-Down Reports, Predictive Models, Trend Analysis, Department Benchmarking, Custom Widget Builder, Data Export, Scheduled Email Reports</t>
  </si>
  <si>
    <t>1. REAL-TIME DASHBOARD:
  • KPI widgets: OPD count, IP census, Revenue, Collection, Bed occupancy, Lab TAT → Auto-refresh every 30 sec
  • Role-based: Admin sees all → Department head sees own dept → Doctor sees own metrics
2. DRILL-DOWN ANALYTICS:
  • Click metric → Drill: Hospital → Department → Doctor → Patient-level → Date range filter
3. PREDICTIVE MODELS:
  • Patient volume forecast → Revenue projection → Inventory demand prediction → Staffing need forecast
4. BENCHMARKING:
  • Department-vs-Department → Month-over-Month → Year-over-Year → Industry benchmark comparison
5. CUSTOM WIDGETS:
  • Create custom charts: Bar, Line, Pie, Heatmap → Drag-drop data fields → Save to personal dashboard
6. SCHEDULED REPORTS:
  • Configure: Report + Frequency + Recipients → Auto-email at scheduled time (daily MIS at 8 AM)
7. OUTPUTS: Live dashboard, Trend reports, Forecast models, Custom analytics, Scheduled email reports</t>
  </si>
  <si>
    <t>• Conversational BI (NLP queries)
• AI anomaly detection in ops metrics
• Social determinants of health analytics
• Cost-per-patient analytics
• Population health dashboard
• Protocol-wise outcome analytics</t>
  </si>
  <si>
    <t>INSURANCE MODULE</t>
  </si>
  <si>
    <t>TPA Master, Tariff Mapping, Pre-Auth Request/Approval, Claim Submission, Cashless/Reimbursement Workflow, Rejection Handling, Denial Tracking, Settlement Reconciliation, ROHINI Code Mapping</t>
  </si>
  <si>
    <t>1. TPA MASTER SETUP:
  • Register TPAs/Insurance companies → Tariff sheets uploaded → Rate mapping: Hospital service → TPA rate → Discount %
  • ROHINI code mapping for standardized claiming
2. PRE-AUTHORIZATION:
  • Patient admitted with insurance → Pre-auth form auto-generated → Documents attached → Submitted to TPA (portal/email)
  • Status tracking: Submitted → Query raised → Enhancement needed → Approved → Amount confirmed
3. CLAIM WORKFLOW:
  • Cashless: Pre-auth approved → Treatment → Final claim with discharge summary + bills → TPA review → Settlement
  • Reimbursement: Patient pays → Hospital generates claim pack → Patient submits to insurer
4. REJECTION HANDLING:
  • Rejection reason captured → Analysis: Coding error / Document missing / Not covered → Resubmission workflow
5. SETTLEMENT RECONCILIATION:
  • TPA payment received → Match against claims → Short payment identified → Dispute raised → Resolution tracked
6. DENIAL ANALYTICS:
  • Denial rate by TPA → Common rejection reasons → Doctor-wise claim success rate → Revenue impact
7. OUTPUTS: Pre-auth form, Claim pack, Settlement reconciliation, Denial analytics, TPA-wise revenue report</t>
  </si>
  <si>
    <t>• IRDAI regulatory reporting automation
• Insurance eligibility verification API
• Patient cost estimator pre-admission
• Multi-insurer claim splitting
• Fraud detection analytics
• Empanelment management</t>
  </si>
  <si>
    <t>CSSD MODULE</t>
  </si>
  <si>
    <t>Instrument Wrap, Sterilization Cycle Log, Autoclave Monitoring, Tray Config, Biological Indicator Log, Issue to OT/Ward, Return &amp; Re-Process, Recall Alert, CSSD Dashboard</t>
  </si>
  <si>
    <t>1. INSTRUMENT WRAP:
  • Tray composition: Define tray → List instruments → Pack with chemical/biological indicator → Seal + Label with barcode
2. STERILIZATION CYCLE:
  • Load autoclave → Cycle parameters: Temp, Pressure, Duration → Cycle log recorded → Pass/Fail result
  • Biological indicator: Spore test result at 24/48 hours → Mandatory documentation
3. AUTOCLAVE MONITORING:
  • Machine master: ID, Type, Last validation, Next validation → Cycle count → Maintenance schedule
  • Bowie-Dick test: Daily test for porous load autoclaves → Result logged
4. TRAY TRACKING:
  • Barcode-based: Tray ID → Sterilization status → Location (CSSD/OT/Ward) → Usage log → Return for reprocessing
5. ISSUE TO OT/WARD:
  • Request from OT → CSSD dispatches sterile tray → Barcode scan at OT → Usage confirmed → Return tracking
6. RECALL ALERT:
  • If biological indicator fails → System identifies all trays from that cycle → Recall notification → Re-sterilization
7. OUTPUTS: Sterilization log, Tray tracking register, Biological indicator report, CSSD dashboard</t>
  </si>
  <si>
    <t>• Flash sterilization tracking
• Instrument lifecycle (sharpen/repair/retire)
• Endoscope reprocessing tracking
• Loan instrument vendor management
• Staff competency assessment</t>
  </si>
  <si>
    <t>LAB MACHINE INTEGRATION</t>
  </si>
  <si>
    <t>Instrument Master, HL7/ASTM Interface, Bi-Directional Result Flow, Auto-Validation Rules, Machine Downtime Log, QC Result Capture, Barcode Sample Mapping, Error Handling</t>
  </si>
  <si>
    <t>1. INSTRUMENT MASTER:
  • Register lab analyzers: Name, Model, Serial, Protocol (HL7 v2/ASTM), Connection type (Serial/TCP), Communication port
2. BI-DIRECTIONAL FLOW:
  • Outbound: Lab orders → Translated to HL7/ASTM message → Sent to analyzer → Machine receives worklist
  • Inbound: Analyzer completes test → Result message sent → System parses → Maps to patient + test → Result auto-populated
3. AUTO-VALIDATION:
  • Rules engine: If result within acceptable range + delta check pass → Auto-validate → Technician reviews exceptions only
4. QC INTEGRATION:
  • Levey-Jennings chart: QC results plotted → Westgard rules applied → Out-of-control alerts → Machine locked until QC passes
5. ERROR HANDLING:
  • Communication failure: Auto-retry → Alert to IT → Fallback to manual entry
  • Result mismatch: Patient ID verification → Reject and re-run
6. OUTPUTS: Interface log, Auto-validation report, QC chart, Error log, Machine uptime report</t>
  </si>
  <si>
    <t>• New analyzer onboarding wizard
• Multi-analyzer result averaging
• Middleware for complex routing
• Reagent consumption per machine
• Uptime SLA monitoring per analyzer</t>
  </si>
  <si>
    <t>DIU UTILITY</t>
  </si>
  <si>
    <t>Data Import Utility, Bulk Upload (Patient/Item/Doctor), Migration Validation, De-Duplication Check, Error Log, Rollback Support, Scheduled Import/Export, ETL Workflow</t>
  </si>
  <si>
    <t>1. DATA IMPORT:
  • Bulk upload templates: Patient master, Item master, Doctor master, Department master → Excel/CSV format
  • Upload → Validation (mandatory fields, data types, duplicates) → Error report → Fix → Re-upload → Commit
2. MIGRATION SUPPORT:
  • Legacy system data → ETL (Extract-Transform-Load) → Mapping configuration → Validation → Import → Verification
3. DE-DUPLICATION:
  • Intelligent matching: Mobile + Name + DOB → Potential duplicate list → Manual review → Merge/Reject
4. SCHEDULED JOBS:
  • Auto import/export: Lab results from external lab → Scheduled daily → Error notification
5. ROLLBACK:
  • Import batch tracking → If errors found post-import → Rollback entire batch → Restore previous state
6. OUTPUTS: Import log, Validation error report, De-duplication report, Migration verification report</t>
  </si>
  <si>
    <t>• API-based real-time data sync
• Data quality scoring dashboard
• Master data governance workflow
• Legacy system decommission checklist
• Data anonymization for research</t>
  </si>
  <si>
    <t>PRINTER INTEGRATION</t>
  </si>
  <si>
    <t>Printer Config (Thermal/Laser/Label/Dot Matrix), Print Queue Management, Template Mapping, Auto-Print Trigger, Network Printer Discovery, Barcode/QR Label Print, Print Log</t>
  </si>
  <si>
    <t>1. PRINTER CONFIGURATION:
  • Register printers: Name, Type (Thermal/Laser/Dot Matrix/Label), IP address, Location, Department assignment
2. TEMPLATE MAPPING:
  • Map document type to printer: Token → Thermal printer, Bill → Laser, Label → Label printer, Report → A4 Laser
3. PRINT QUEUE:
  • Centralized print queue → Status: Pending/Printing/Completed/Failed → Retry failed jobs
4. AUTO-PRINT TRIGGERS:
  • Configure: Token generation → Auto-print token, Bill finalized → Auto-print receipt, Lab report → Auto-print
5. BARCODE/QR LABEL PRINTING:
  • Patient wristband labels, Lab sample labels, Asset tags, Medication labels → Configurable label templates
6. NETWORK DISCOVERY:
  • Auto-discover network printers → One-click setup → Health monitoring → Alert on offline
7. OUTPUTS: Print queue dashboard, Printer health status, Print volume analytics</t>
  </si>
  <si>
    <t>• Mobile printing from doctor/nurse apps
• Patient self-service report kiosk
• Print cost tracking per department
• Eco-friendly print policy (duplex)
• Cloud printing for remote locations</t>
  </si>
  <si>
    <t>TV OUT PUT INTGERATION</t>
  </si>
  <si>
    <t>OPD Token Display, Ward-Wise Patient Status, Doctor Availability Board, OT Schedule Display, Lab TAT Display, Emergency Alert Banner, Custom Layout Config, Auto-Refresh</t>
  </si>
  <si>
    <t>1. OPD TOKEN DISPLAY:
  • Large screen outside each doctor's room → Shows: Current Token, Next 3 tokens, Doctor name, Status (Consulting/Break)
  • Auto-advance when doctor completes consultation
2. WARD PATIENT STATUS:
  • Nursing station TV → Patient list: Bed #, Name, Acuity level, Pending tasks → Auto-refresh
3. DOCTOR AVAILABILITY:
  • Reception area display → Doctor-wise: Available/On break/In OT/Telemedicine → Real-time update
4. OT SCHEDULE:
  • OT corridor display → Today's schedule: Time, Patient, Surgeon, Procedure, OT Room → Status: Scheduled/In Progress/Done
5. LAB TAT DISPLAY:
  • Lab waiting area → Test-wise average TAT → Patient token: Estimated ready time
6. EMERGENCY ALERTS:
  • Hospital-wide: Emergency code announcements → Scrolling banner with color coding
7. CUSTOM LAYOUTS:
  • Admin configures: Which info → Which screen → Layout template → Auto-refresh interval
8. OUTPUTS: Token display feed, Ward status board, OT schedule display, Emergency banner</t>
  </si>
  <si>
    <t>• Patient education videos during wait
• Digital signage content scheduler
• Emergency evacuation map display
• Multi-language content rotation
• Health awareness campaign display</t>
  </si>
  <si>
    <t>QUEUE MANAGEMENT</t>
  </si>
  <si>
    <t>Token Generation, Counter Assignment, Average Wait Time Display, Priority Queue, SMS/WhatsApp Call Notification, Doctor-Wise Queue, Multi-Department Support, Walk-In vs Appointment, Queue Analytics</t>
  </si>
  <si>
    <t>1. TOKEN GENERATION:
  • Patient checks in → Token assigned: Auto-increment per doctor → Printed slip with QR code + Estimated wait
2. MULTI-DEPARTMENT QUEUES:
  • Separate queues per department/doctor → Centralized view for admin → Patient sees only their queue
3. COUNTER ASSIGNMENT:
  • Queue reaches front → Counter/Room assignment → Display board calls token + room number
4. PRIORITY QUEUE:
  • Emergency/Senior citizen/Physically challenged → Priority flag → Auto-moved up in queue
5. SMS/WHATSAPP NOTIFICATION:
  • Position update: 'You are #5 in queue, ~20 min wait' → 'Your turn, please proceed to Room 3'
6. ANALYTICS:
  • Average wait time → Peak hours identification → Doctor-wise throughput → No-show rate
7. WALK-IN vs APPOINTMENT:
  • Appointment patients get priority slots → Walk-ins interleaved → Configurable ratio
8. OUTPUTS: Queue token, Position display, Wait time analytics, Throughput report</t>
  </si>
  <si>
    <t>• Virtual queue (join from home via app)
• Queue position via hospital Wi-Fi
• ML-based dynamic wait time estimate
• Load balancing across departments
• Exit feedback kiosk</t>
  </si>
  <si>
    <t>SYSTEM</t>
  </si>
  <si>
    <t>User Master, Role &amp; Permission Config, Password Policy, Audit Trail, Session Management, System Logs, Backup Config, Global Settings, Notification Config, License Management</t>
  </si>
  <si>
    <t>1. USER MANAGEMENT:
  • Create/Edit/Deactivate users → Role assignment (RBAC: 22 roles) → Department mapping → Multi-hospital access
2. ROLE &amp; PERMISSION:
  • Granular permissions: Module access + Feature access + Data access (own dept/all depts) → Custom role creation
3. PASSWORD &amp; SECURITY:
  • Policy: Min length, Complexity, Expiry (90 days), History (can't reuse last 5) → Failed login lockout → 2FA option
4. AUDIT TRAIL:
  • Every action logged: Who, What, When, Where (IP), Before/After values → Tamper-proof → Searchable
5. SESSION MANAGEMENT:
  • Concurrent session limit → Auto-timeout (idle 15 min) → Force logout capability
6. SYSTEM CONFIGURATION:
  • Hospital settings: Name, Logo, Address, Tax registration → Department setup → Fee master → Billing rules
7. BACKUP:
  • Auto daily backup → Cloud replication → Retention policy → DR drill log → RTO/RPO targets
8. LICENSE MANAGEMENT:
  • Module activation → User seat tracking → License expiry alerts → Usage analytics
9. OUTPUTS: User directory, Role matrix, Audit log, System config, Backup status, License dashboard</t>
  </si>
  <si>
    <t>• Zero trust security architecture
• SIEM integration for threat detection
• Data Loss Prevention (DLP) policies
• Automated compliance scanning
• DR drill scheduling &amp; results
• SSL/TLS certificate auto-renewal</t>
  </si>
  <si>
    <t>PACS INTEGRATION</t>
  </si>
  <si>
    <t>DICOM Viewer, Study Worklist, Image Archive, CD Burn/Share, Radiologist Worklist, Prior Study Comparison, Report Integration, Cloud PACS, Modality Worklist (MWL), Tele-Radiology</t>
  </si>
  <si>
    <t>1. DICOM VIEWER:
  • Web-based zero-footprint viewer → Window/Level adjustments → Zoom/Pan → Measurements → Annotations
  • Multi-frame: CT/MRI scroll through slices → MPR (Multi-Planar Reconstruction) basic
2. STUDY WORKLIST:
  • Radiologist worklist: Pending studies → Priority sorted → Click to view → Report template opens alongside
3. IMAGE ARCHIVE:
  • Cloud PACS: All DICOM images stored → Retention per modality → Compression for long-term → Backup
4. CD/DVD BURN &amp; SHARE:
  • Patient requests images → CD/DVD burn with viewer → Or: Share link via Patient Portal → Time-limited access
5. PRIOR STUDY COMPARISON:
  • System auto-fetches previous studies for same anatomy → Side-by-side comparison on viewer
6. TELE-RADIOLOGY:
  • Remote radiologist access → Secure VPN → Report from anywhere → Digital signature → Seamless integration
7. MODALITY WORKLIST (MWL):
  • Orders pushed to scanners → Patient demographics auto-populated → Reduces manual entry at scanner
8. OUTPUTS: DICOM web viewer, Radiology worklist, Study archive, CD/Share link, Tele-radiology report</t>
  </si>
  <si>
    <t>• AI preliminary read for critical findings
• Cloud PACS with edge caching
• 3D printing from imaging data
• Patient imaging portal with annotations
• Cross-institution DICOM web sharing</t>
  </si>
  <si>
    <t>GATE PASS &amp; BYSTANDER</t>
  </si>
  <si>
    <t>Visitor Entry, Gate Register, Vehicle In/Out Log, Material Gate Pass (Returnable/Non-Returnable), Photo Capture, OTP Verification, Time Tracking, Security Dashboard</t>
  </si>
  <si>
    <t>1. VISITOR ENTRY:
  • Visitor arrives → Guard captures: Name, Mobile, Photo, Purpose, Patient visiting → OTP verification (optional)
  • System checks: Visiting hours compliance → Patient's allowed visitor count → Approve/Deny
2. GATE REGISTER:
  • Digital register: Entry time, Exit time, Duration → Searchable by date/patient/visitor
3. VEHICLE LOG:
  • Vehicle entry: Number plate, Type, Driver → Parking assignment → Exit time → Duration
4. MATERIAL GATE PASS:
  • Returnable: Equipment/Cylinder going out → Return date → Follow-up if not returned
  • Non-Returnable: Scrap/Waste → Approved by Admin → Documented → Gate release
5. SECURITY DASHBOARD:
  • Real-time: Visitors in hospital, Vehicles in parking, Pending material returns, Incident log
6. OUTPUTS: Visitor pass, Gate register report, Vehicle log, Material gate pass, Security dashboard</t>
  </si>
  <si>
    <t>• Facial recognition for frequent visitors
• Contractor pass + safety induction
• Delivery/courier management
• Parking bay assignment management
• CCTV integration with gate events</t>
  </si>
  <si>
    <t>PASS MANAGEMENT</t>
  </si>
  <si>
    <t>Bystander Pass Issue, Visit Hour Config, Patient-Wise Visitor Limit, QR Pass, Extension Request, Pass Revoke, Ward-Wise Visitor Report, Emergency Override, Photo ID Capture</t>
  </si>
  <si>
    <t>1. BYSTANDER PASS:
  • IP patient → Allowed bystander count (configurable per ward) → Pass issued with QR code → Photo ID
2. VISITING HOURS:
  • Configure: Ward-wise visiting hours → Pass valid only during hours → Alerts if violation
3. PATIENT-WISE LIMIT:
  • Max visitors per patient → System enforces → ICU: 1 visitor, General: 2 visitors (configurable)
4. PASS MANAGEMENT:
  • Issue → Extend (with approval) → Revoke (disciplinary/clinical reason) → Re-issue
  • QR scan at ward entry → System validates: Active pass + Correct ward + Visiting hours → Allow/Deny
5. EMERGENCY OVERRIDE:
  • Critical patient → Doctor/Nurse can override visiting restrictions → Logged with reason
6. REPORTS:
  • Ward-wise visitor traffic → Peak hours → Violations log → Compliance rate
7. OUTPUTS: Bystander pass with QR, Visitor report, Violation log, Compliance dashboard</t>
  </si>
  <si>
    <t>• Digital pass on family member phone
• Auto-deactivation on patient discharge
• Multilingual pass instructions
• Wheelchair/special needs flagging
• Infection control screening questions</t>
  </si>
  <si>
    <t>COMPLAINT MANAGEMENT</t>
  </si>
  <si>
    <t>Complaint Register, Category/Priority Tagging, Auto-Assignment, Escalation Matrix, SLA Timer, Resolution Notes, Patient/Staff Complaint, Feedback Loop, TAT Report, Trend Analysis</t>
  </si>
  <si>
    <t>1. COMPLAINT REGISTRATION:
  • Source: Patient/Family/Staff/Doctor → Channel: In-person/Phone/App/Website/Kiosk
  • Capture: Complainant details, Category (Clinical/Administrative/Facility/Staff Behavior), Description, Priority (Low/Medium/High/Critical)
2. AUTO-ASSIGNMENT:
  • Category → Pre-mapped department/person → Auto-assigned → Notification sent to assignee
3. ESCALATION MATRIX:
  • SLA: Low=72hrs, Medium=48hrs, High=24hrs, Critical=4hrs → If not resolved → Auto-escalate to next level
  • Level 1: Department head → Level 2: Admin → Level 3: Hospital Director
4. RESOLUTION:
  • Assignee investigates → Resolution notes → Root cause → Corrective action → Close complaint
  • Feedback loop: Complainant notified → Satisfaction survey
5. ANALYTICS:
  • Complaint volume trend → Category-wise distribution → Avg resolution time → Repeat complaints → Department-wise TAT
6. OUTPUTS: Complaint ticket, Escalation alert, Resolution report, Trend analytics, Patient feedback survey</t>
  </si>
  <si>
    <t>• AI sentiment analysis on complaints
• NLP auto-categorization
• Repeat complaint correlation
• NABH quality indicator linkage
• Public complaint portal (website)
• Complaint-to-improvement workflow</t>
  </si>
  <si>
    <t>CANTEEN MODULE</t>
  </si>
  <si>
    <t>Menu Master, Meal Order (Diet-Linked), Token Billing, POS Counter, Inventory Deduction, Vendor Supply Log, Hygiene Checklist, Revenue Report, Staff Meal Subsidy, Waste Tracking</t>
  </si>
  <si>
    <t>1. CANTEEN MENU MANAGEMENT:
  • Menu master: Items, Prices, Category (Veg/Non-Veg), Availability by time slot (Breakfast/Lunch/Dinner)
2. MEAL ORDER (DIET-LINKED):
  • IP patients: Diet plan from Dietician module → Auto-translated to meal order → Kitchen receives
  • Special diets: Diabetic/Renal/Soft/Liquid → Kitchen prepares accordingly
3. TOKEN/POS BILLING:
  • Staff/Visitor canteen: Token purchase → POS billing → Cash/Card/UPI/Salary deduction
4. INVENTORY:
  • Raw material tracking → Recipe-based consumption calculation → Auto-indent to stores
5. HYGIENE &amp; QUALITY:
  • Daily hygiene checklist → Temperature monitoring (fridge/cooking) → Pest control log
6. STAFF MEAL SUBSIDY:
  • Configure subsidy per staff grade → Meal consumed → Subsidy applied → Net charge deducted from salary
7. WASTE TRACKING:
  • Food waste measurement → Trend analysis → Menu optimization recommendations
8. OUTPUTS: Meal dispatch sheet, POS bill, Inventory indent, Hygiene checklist, Waste report, Revenue report</t>
  </si>
  <si>
    <t>• Online meal ordering via app
• Nutritional labeling at counter
• Patient meal feedback collection
• Kitchen CCTV compliance
• Vendor-managed perishable inventory
• Special event catering management</t>
  </si>
  <si>
    <t>SMS &amp; WHATSAPP</t>
  </si>
  <si>
    <t>SMS Gateway Config, Template Master, Auto-Trigger (Appointment/Lab/Discharge), WhatsApp Business API, Delivery Report, DND Check, Bulk Messaging, Opt-In/Out Management, Campaign Tracker</t>
  </si>
  <si>
    <t>1. GATEWAY CONFIGURATION:
  • SMS: Service provider setup (MSG91/Twilio) → API key → Sender ID → DLT registration → Route config
  • WhatsApp: Business API setup → Phone number verification → Template submission → Approval tracking
2. TEMPLATE MASTER:
  • Create templates: Appointment confirmation, Lab report ready, Bill generated, Discharge summary, Follow-up reminder, Medication reminder
  • Variables: {{patient_name}}, {{doctor_name}}, {{date}}, {{time}}, {{amount}} → Auto-populated per patient
3. AUTO-TRIGGERS:
  • Event-based: Appointment booked → SMS, Lab report ready → WhatsApp with PDF, Bill generated → WhatsApp receipt
  • Scheduled: Appointment reminder (1 day before), Follow-up reminder, Vaccination due, EMI due
4. DELIVERY TRACKING:
  • Status: Sent → Delivered → Read (WhatsApp) → Failed → Retry queue
  • DND check: System verifies DND status before SMS → WhatsApp fallback
5. BULK MESSAGING:
  • Health campaigns → Target: All diabetic patients / All patients from area → Personalized content → Batch send
6. OPT-IN/OUT:
  • Patient preference: SMS only / WhatsApp only / Both / None → Compliance with TRAI regulations
7. OUTPUTS: Message log, Delivery report, Campaign analytics, Opt-out register, Cost tracking</t>
  </si>
  <si>
    <t>• RCS (Rich Communication Services)
• Multi-language template library
• AI-optimized send time
• Patient preference learning
• Cost optimization (SMS vs WhatsApp)
• Regulatory audit trail for all messages</t>
  </si>
  <si>
    <t>INTEGRATION</t>
  </si>
  <si>
    <t>EMR/ERP/LIS/RIS Integration Hub, REST/SOAP API, Middleware Config, Data Mapping, Sync Frequency, Error Queue, Retry Logic, Integration Dashboard, Third-Party Connector</t>
  </si>
  <si>
    <t>1. INTEGRATION HUB:
  • Central middleware: All external system connections managed → Protocol support: REST API, SOAP, HL7 v2, FHIR R4, ASTM
2. API MANAGEMENT:
  • API registry: All exposed APIs documented → Version management → Deprecation notices
  • Security: API key authentication → Rate limiting → IP whitelist → JWT validation
3. DATA MAPPING:
  • Source field → Target field mapping → Transformation rules → Data type conversion → Validation
4. SYNC CONFIGURATION:
  • Real-time (WebSocket/webhook) vs Batch (scheduled) → Frequency config → Retry policy → Dead letter queue
5. ERROR MANAGEMENT:
  • Failed transactions → Error queue → Auto-retry (configurable) → Manual review → Resolution logging
  • Alert: Email/SMS to IT team on persistent failures
6. MONITORING DASHBOARD:
  • Integration health: Green/Yellow/Red per connector → Message volume → Error rate → Latency → Uptime %
7. THIRD-PARTY CONNECTORS:
  • Pre-built: Razorpay, MSG91, WhatsApp Business, CoWIN, ABDM, Lab machines, PACS → Custom connector framework
8. OUTPUTS: Integration dashboard, API documentation, Error log, Connector health report, Data flow diagram</t>
  </si>
  <si>
    <t>• FHIR R4 compliance (interoperability)
• ABDM Health Information Exchange
• e-Hospital (NIC) data push
• PMJAY/CGHS/ESIC scheme integration
• IoT device gateway for equipment
• Blockchain audit trail for consent</t>
  </si>
  <si>
    <t>WEBSITE INTEGRATION</t>
  </si>
  <si>
    <t>Online Appointment Booking, Doctor Profile Page, Department Listing, Patient Testimonials, Lab Report Download, Health Blog Sync, SEO Metadata, Contact Form, Chatbot Widget, Payment Link</t>
  </si>
  <si>
    <t>1. ONLINE APPOINTMENT BOOKING:
  • Website widget: Select Specialty → Doctor → Date → Slot → Patient details → Pay online → Confirmation
  • Embedded: iframe/React component on hospital website → Seamless UX
2. DOCTOR PROFILE PAGES:
  • Auto-generated: Doctor photo, Qualification, Specialization, Experience, Available slots, Patient rating → SEO optimized
3. DEPARTMENT LISTING:
  • All departments with description → Key doctors → Services offered → Contact info
4. LAB REPORT DOWNLOAD:
  • Patient login on website → OTP verification → View/Download lab reports → Share via email
5. HEALTH BLOG:
  • CMS integration → Doctors author articles → Published on website → SEO metadata auto-generated
6. CHATBOT WIDGET:
  • AI-powered bot → Appointment booking → FAQ answers → Doctor recommendation → Handoff to human agent
7. PAYMENT LINK:
  • Shareable payment link for advance/follow-up payment → Razorpay integration → Receipt auto-generated
8. TESTIMONIALS:
  • Patient reviews from portal → Curated display on website → Star ratings
9. OUTPUTS: Booking widget, Doctor profiles, Department pages, Report download portal, Chatbot, Payment link</t>
  </si>
  <si>
    <t>• SEO-optimized doctor/service pages
• Google review sync
• WhatsApp-based appointment booking
• PWA for mobile web
• Multilingual auto-translation
• Patient acquisition channel analytics</t>
  </si>
  <si>
    <t>Ophthalmology</t>
  </si>
  <si>
    <t>Vision Test, Refraction, Slit Lamp, IOP, Fundus, Rx</t>
  </si>
  <si>
    <t>1. Vision Test: User initiates → System processes → Result logged → Notification sent → Dashboard updated
2. Refraction: User initiates → System processes → Result logged → Notification sent → Dashboard updated
3. Slit Lamp: User initiates → System processes → Result logged → Notification sent → Dashboard updated
4. IOP: User initiates → System processes → Result logged → Notification sent → Dashboard updated
5. Fundus: User initiates → System processes → Result logged → Notification sent → Dashboard updated
6. Rx: User initiates → System processes → Result logged → Notification sent → Dashboard updated</t>
  </si>
  <si>
    <t>Dental</t>
  </si>
  <si>
    <t>Dental Charting, Treatment Plans, X-Ray, Procedure Notes</t>
  </si>
  <si>
    <t>1. Dental Charting: User initiates → System processes → Result logged → Notification sent → Dashboard updated
2. Treatment Plans: User initiates → System processes → Result logged → Notification sent → Dashboard updated
3. X-Ray: User initiates → System processes → Result logged → Notification sent → Dashboard updated
4. Procedure Notes: User initiates → System processes → Result logged → Notification sent → Dashboard updated</t>
  </si>
  <si>
    <t>Physiotherapy / Rehabilitation</t>
  </si>
  <si>
    <t>Assessment, Exercise Plans, Progress, Equipment Log</t>
  </si>
  <si>
    <t>1. Assessment: User initiates → System processes → Result logged → Notification sent → Dashboard updated
2. Exercise Plans: User initiates → System processes → Result logged → Notification sent → Dashboard updated
3. Progress: User initiates → System processes → Result logged → Notification sent → Dashboard updated
4. Equipment Log: User initiates → System processes → Result logged → Notification sent → Dashboard updated</t>
  </si>
  <si>
    <t>Dermatology</t>
  </si>
  <si>
    <t>Skin Mapping, Procedure Log, Photo Comparison, Biopsy</t>
  </si>
  <si>
    <t>1. Skin Mapping: User initiates → System processes → Result logged → Notification sent → Dashboard updated
2. Procedure Log: User initiates → System processes → Result logged → Notification sent → Dashboard updated
3. Photo Comparison: User initiates → System processes → Result logged → Notification sent → Dashboard updated
4. Biopsy: User initiates → System processes → Result logged → Notification sent → Dashboard updated</t>
  </si>
  <si>
    <t>ENT</t>
  </si>
  <si>
    <t>Audiometry, Endoscopy, Allergy Test, Procedure Notes</t>
  </si>
  <si>
    <t>1. Audiometry: User initiates → System processes → Result logged → Notification sent → Dashboard updated
2. Endoscopy: User initiates → System processes → Result logged → Notification sent → Dashboard updated
3. Allergy Test: User initiates → System processes → Result logged → Notification sent → Dashboard updated
4. Procedure Notes: User initiates → System processes → Result logged → Notification sent → Dashboard updated</t>
  </si>
  <si>
    <t>Cardiology</t>
  </si>
  <si>
    <t>ECG, Echo, TMT, Holter Monitor, Cath Lab Scheduling</t>
  </si>
  <si>
    <t>1. ECG: User initiates → System processes → Result logged → Notification sent → Dashboard updated
2. Echo: User initiates → System processes → Result logged → Notification sent → Dashboard updated
3. TMT: User initiates → System processes → Result logged → Notification sent → Dashboard updated
4. Holter Monitor: User initiates → System processes → Result logged → Notification sent → Dashboard updated
5. Cath Lab Scheduling: User initiates → System processes → Result logged → Notification sent → Dashboard updated</t>
  </si>
  <si>
    <t>Pulmonology</t>
  </si>
  <si>
    <t>PFT, Spirometry, Sleep Study, Bronchoscopy Scheduling</t>
  </si>
  <si>
    <t>1. PFT: User initiates → System processes → Result logged → Notification sent → Dashboard updated
2. Spirometry: User initiates → System processes → Result logged → Notification sent → Dashboard updated
3. Sleep Study: User initiates → System processes → Result logged → Notification sent → Dashboard updated
4. Bronchoscopy Scheduling: User initiates → System processes → Result logged → Notification sent → Dashboard updated</t>
  </si>
  <si>
    <t>Oncology / Chemotherapy</t>
  </si>
  <si>
    <t>Chemo Protocols, Cycle Tracking, Toxicity Grading, Rx</t>
  </si>
  <si>
    <t>1. Chemo Protocols: User initiates → System processes → Result logged → Notification sent → Dashboard updated
2. Cycle Tracking: User initiates → System processes → Result logged → Notification sent → Dashboard updated
3. Toxicity Grading: User initiates → System processes → Result logged → Notification sent → Dashboard updated
4. Rx: User initiates → System processes → Result logged → Notification sent → Dashboard updated</t>
  </si>
  <si>
    <t>Psychiatry / Mental Health</t>
  </si>
  <si>
    <t>Screening Tools, Session Notes, PHQ-9, GAD-7, Follow-Up</t>
  </si>
  <si>
    <t>1. Screening Tools: User initiates → System processes → Result logged → Notification sent → Dashboard updated
2. Session Notes: User initiates → System processes → Result logged → Notification sent → Dashboard updated
3. PHQ-9: User initiates → System processes → Result logged → Notification sent → Dashboard updated
4. GAD-7: User initiates → System processes → Result logged → Notification sent → Dashboard updated
5. Follow-Up: User initiates → System processes → Result logged → Notification sent → Dashboard updated</t>
  </si>
  <si>
    <t>Orthopedics</t>
  </si>
  <si>
    <t>Fracture Log, Casting, Prosthetics, Implant Registry</t>
  </si>
  <si>
    <t>1. Fracture Log: User initiates → System processes → Result logged → Notification sent → Dashboard updated
2. Casting: User initiates → System processes → Result logged → Notification sent → Dashboard updated
3. Prosthetics: User initiates → System processes → Result logged → Notification sent → Dashboard updated
4. Implant Registry: User initiates → System processes → Result logged → Notification sent → Dashboard updated</t>
  </si>
  <si>
    <t>Pediatrics</t>
  </si>
  <si>
    <t>Growth Charts, Immunization, Milestone Tracking, NICU Follow-Up</t>
  </si>
  <si>
    <t>1. Growth Charts: User initiates → System processes → Result logged → Notification sent → Dashboard updated
2. Immunization: User initiates → System processes → Result logged → Notification sent → Dashboard updated
3. Milestone Tracking: User initiates → System processes → Result logged → Notification sent → Dashboard updated
4. NICU Follow-Up: User initiates → System processes → Result logged → Notification sent → Dashboard updated</t>
  </si>
  <si>
    <t>Geriatrics</t>
  </si>
  <si>
    <t>Fall Risk Assessment, Cognitive Screen, Polypharmacy Review</t>
  </si>
  <si>
    <t>1. Fall Risk Assessment: User initiates → System processes → Result logged → Notification sent → Dashboard updated
2. Cognitive Screen: User initiates → System processes → Result logged → Notification sent → Dashboard updated
3. Polypharmacy Review: User initiates → System processes → Result logged → Notification sent → Dashboard updated</t>
  </si>
  <si>
    <t>Wound Care Clinic</t>
  </si>
  <si>
    <t>Wound Assessment, Photo Log, Dressing Protocol, Healing Track</t>
  </si>
  <si>
    <t>1. Wound Assessment: User initiates → System processes → Result logged → Notification sent → Dashboard updated
2. Photo Log: User initiates → System processes → Result logged → Notification sent → Dashboard updated
3. Dressing Protocol: User initiates → System processes → Result logged → Notification sent → Dashboard updated
4. Healing Track: User initiates → System processes → Result logged → Notification sent → Dashboard updated</t>
  </si>
  <si>
    <t>Pain Management</t>
  </si>
  <si>
    <t>Pain Score, Block Log, Medication Titration, Outcome Track</t>
  </si>
  <si>
    <t>1. Pain Score: User initiates → System processes → Result logged → Notification sent → Dashboard updated
2. Block Log: User initiates → System processes → Result logged → Notification sent → Dashboard updated
3. Medication Titration: User initiates → System processes → Result logged → Notification sent → Dashboard updated
4. Outcome Track: User initiates → System processes → Result logged → Notification sent → Dashboard updated</t>
  </si>
  <si>
    <t>Speech Therapy</t>
  </si>
  <si>
    <t>Swallow Assessment, Articulation, Session Notes, Progress</t>
  </si>
  <si>
    <t>1. Swallow Assessment: User initiates → System processes → Result logged → Notification sent → Dashboard updated
2. Articulation: User initiates → System processes → Result logged → Notification sent → Dashboard updated
3. Session Notes: User initiates → System processes → Result logged → Notification sent → Dashboard updated
4. Progress: User initiates → System processes → Result logged → Notification sent → Dashboard updated</t>
  </si>
  <si>
    <t>Referral Management</t>
  </si>
  <si>
    <t>Internal/External Referral, Tracking, TAT, Feedback Loop</t>
  </si>
  <si>
    <t>1. Internal/External Referral: User initiates → System processes → Result logged → Notification sent → Dashboard updated
2. Tracking: User initiates → System processes → Result logged → Notification sent → Dashboard updated
3. TAT: User initiates → System processes → Result logged → Notification sent → Dashboard updated
4. Feedback Loop: User initiates → System processes → Result logged → Notification sent → Dashboard updated</t>
  </si>
  <si>
    <t>Second Opinion</t>
  </si>
  <si>
    <t>Case Bundling, Expert Panel, Report Upload, Communication</t>
  </si>
  <si>
    <t>1. Case Bundling: User initiates → System processes → Result logged → Notification sent → Dashboard updated
2. Expert Panel: User initiates → System processes → Result logged → Notification sent → Dashboard updated
3. Report Upload: User initiates → System processes → Result logged → Notification sent → Dashboard updated
4. Communication: User initiates → System processes → Result logged → Notification sent → Dashboard updated</t>
  </si>
  <si>
    <t>AYUSH / Alternative Medicine</t>
  </si>
  <si>
    <t>Ayurveda/Homeo/Unani, Consultation, Herbal Rx, Therapy Log</t>
  </si>
  <si>
    <t>1. Ayurveda/Homeo/Unani: User initiates → System processes → Result logged → Notification sent → Dashboard updated
2. Consultation: User initiates → System processes → Result logged → Notification sent → Dashboard updated
3. Herbal Rx: User initiates → System processes → Result logged → Notification sent → Dashboard updated
4. Therapy Log: User initiates → System processes → Result logged → Notification sent → Dashboard updated</t>
  </si>
  <si>
    <t>Patient Education Portal</t>
  </si>
  <si>
    <t>Condition Guides, Pre/Post-Op Instructions, Video Library</t>
  </si>
  <si>
    <t>1. Condition Guides: User initiates → System processes → Result logged → Notification sent → Dashboard updated
2. Pre/Post-Op Instructions: User initiates → System processes → Result logged → Notification sent → Dashboard updated
3. Video Library: User initiates → System processes → Result logged → Notification sent → Dashboard updated</t>
  </si>
  <si>
    <t>ICU / CCU Management</t>
  </si>
  <si>
    <t>Ventilator Tracking, Hourly Vitals, APACHE/SOFA Score, Alerts</t>
  </si>
  <si>
    <t>1. Ventilator Tracking: User initiates → System processes → Result logged → Notification sent → Dashboard updated
2. Hourly Vitals: User initiates → System processes → Result logged → Notification sent → Dashboard updated
3. APACHE/SOFA Score: User initiates → System processes → Result logged → Notification sent → Dashboard updated
4. Alerts: User initiates → System processes → Result logged → Notification sent → Dashboard updated</t>
  </si>
  <si>
    <t>NICU / PICU</t>
  </si>
  <si>
    <t>Neonatal Vitals, Incubator Log, Feeding Chart, Growth Monitor</t>
  </si>
  <si>
    <t>1. Neonatal Vitals: User initiates → System processes → Result logged → Notification sent → Dashboard updated
2. Incubator Log: User initiates → System processes → Result logged → Notification sent → Dashboard updated
3. Feeding Chart: User initiates → System processes → Result logged → Notification sent → Dashboard updated
4. Growth Monitor: User initiates → System processes → Result logged → Notification sent → Dashboard updated</t>
  </si>
  <si>
    <t>HDU / Step-Down Unit</t>
  </si>
  <si>
    <t>Step-Down Criteria, Monitoring, Escalation Protocols</t>
  </si>
  <si>
    <t>1. Step-Down Criteria: User initiates → System processes → Result logged → Notification sent → Dashboard updated
2. Monitoring: User initiates → System processes → Result logged → Notification sent → Dashboard updated
3. Escalation Protocols: User initiates → System processes → Result logged → Notification sent → Dashboard updated</t>
  </si>
  <si>
    <t>Mortuary Management</t>
  </si>
  <si>
    <t>Body Register, Embalming Log, Release Workflow, Death Certificate</t>
  </si>
  <si>
    <t>1. Body Register: User initiates → System processes → Result logged → Notification sent → Dashboard updated
2. Embalming Log: User initiates → System processes → Result logged → Notification sent → Dashboard updated
3. Release Workflow: User initiates → System processes → Result logged → Notification sent → Dashboard updated
4. Death Certificate: User initiates → System processes → Result logged → Notification sent → Dashboard updated</t>
  </si>
  <si>
    <t>Patient Transfer</t>
  </si>
  <si>
    <t>Inter-Facility Transfer, Ambulance Link, Handover Docs, Consent</t>
  </si>
  <si>
    <t>1. Inter-Facility Transfer: User initiates → System processes → Result logged → Notification sent → Dashboard updated
2. Ambulance Link: User initiates → System processes → Result logged → Notification sent → Dashboard updated
3. Handover Docs: User initiates → System processes → Result logged → Notification sent → Dashboard updated
4. Consent: User initiates → System processes → Result logged → Notification sent → Dashboard updated</t>
  </si>
  <si>
    <t>Transplant Module</t>
  </si>
  <si>
    <t>Donor Registry, Matching, Waitlist, Post-Transplant Follow-Up</t>
  </si>
  <si>
    <t>1. Donor Registry: User initiates → System processes → Result logged → Notification sent → Dashboard updated
2. Matching: User initiates → System processes → Result logged → Notification sent → Dashboard updated
3. Waitlist: User initiates → System processes → Result logged → Notification sent → Dashboard updated
4. Post-Transplant Follow-Up: User initiates → System processes → Result logged → Notification sent → Dashboard updated</t>
  </si>
  <si>
    <t>IP Pharmacy</t>
  </si>
  <si>
    <t>Ward Stock, Unit Dose, Return Mgmt, Narcotic Control</t>
  </si>
  <si>
    <t>1. Ward Stock: User initiates → System processes → Result logged → Notification sent → Dashboard updated
2. Unit Dose: User initiates → System processes → Result logged → Notification sent → Dashboard updated
3. Return Mgmt: User initiates → System processes → Result logged → Notification sent → Dashboard updated
4. Narcotic Control: User initiates → System processes → Result logged → Notification sent → Dashboard updated</t>
  </si>
  <si>
    <t>Clinical Pathway Management</t>
  </si>
  <si>
    <t>Protocol Templates, Variance Tracking, Outcome Metrics</t>
  </si>
  <si>
    <t>1. Protocol Templates: User initiates → System processes → Result logged → Notification sent → Dashboard updated
2. Variance Tracking: User initiates → System processes → Result logged → Notification sent → Dashboard updated
3. Outcome Metrics: User initiates → System processes → Result logged → Notification sent → Dashboard updated</t>
  </si>
  <si>
    <t>IP Rehabilitation</t>
  </si>
  <si>
    <t>Rehab Plan, Daily Progress, Functional Score, Discharge Goal</t>
  </si>
  <si>
    <t>1. Rehab Plan: User initiates → System processes → Result logged → Notification sent → Dashboard updated
2. Daily Progress: User initiates → System processes → Result logged → Notification sent → Dashboard updated
3. Functional Score: User initiates → System processes → Result logged → Notification sent → Dashboard updated
4. Discharge Goal: User initiates → System processes → Result logged → Notification sent → Dashboard updated</t>
  </si>
  <si>
    <t>IP Dialysis</t>
  </si>
  <si>
    <t>IP Dialysis Schedule, Fluid Balance, Machine Assignment, Vitals</t>
  </si>
  <si>
    <t>1. IP Dialysis Schedule: User initiates → System processes → Result logged → Notification sent → Dashboard updated
2. Fluid Balance: User initiates → System processes → Result logged → Notification sent → Dashboard updated
3. Machine Assignment: User initiates → System processes → Result logged → Notification sent → Dashboard updated
4. Vitals: User initiates → System processes → Result logged → Notification sent → Dashboard updated</t>
  </si>
  <si>
    <t>IP Chemotherapy</t>
  </si>
  <si>
    <t>IP Chemo Protocol, Infusion Tracking, Toxicity, Isolation Room</t>
  </si>
  <si>
    <t>1. IP Chemo Protocol: User initiates → System processes → Result logged → Notification sent → Dashboard updated
2. Infusion Tracking: User initiates → System processes → Result logged → Notification sent → Dashboard updated
3. Toxicity: User initiates → System processes → Result logged → Notification sent → Dashboard updated
4. Isolation Room: User initiates → System processes → Result logged → Notification sent → Dashboard updated</t>
  </si>
  <si>
    <t>Infection Control</t>
  </si>
  <si>
    <t>HAI Surveillance, Antibiogram, Culture Reports, Alert Triggers</t>
  </si>
  <si>
    <t>1. HAI Surveillance: User initiates → System processes → Result logged → Notification sent → Dashboard updated
2. Antibiogram: User initiates → System processes → Result logged → Notification sent → Dashboard updated
3. Culture Reports: User initiates → System processes → Result logged → Notification sent → Dashboard updated
4. Alert Triggers: User initiates → System processes → Result logged → Notification sent → Dashboard updated</t>
  </si>
  <si>
    <t>Crash Cart Management</t>
  </si>
  <si>
    <t>Cart Checklist, Expiry Alerts, Usage Log, Replenishment</t>
  </si>
  <si>
    <t>1. Cart Checklist: User initiates → System processes → Result logged → Notification sent → Dashboard updated
2. Expiry Alerts: User initiates → System processes → Result logged → Notification sent → Dashboard updated
3. Usage Log: User initiates → System processes → Result logged → Notification sent → Dashboard updated
4. Replenishment: User initiates → System processes → Result logged → Notification sent → Dashboard updated</t>
  </si>
  <si>
    <t>LAUNDRY MANAGEMENT</t>
  </si>
  <si>
    <t>Linen Tracking, Wash Cycles, Ward-Wise Demand, Quality Check</t>
  </si>
  <si>
    <t>1. Linen Tracking: User initiates → System processes → Result logged → Notification sent → Dashboard updated
2. Wash Cycles: User initiates → System processes → Result logged → Notification sent → Dashboard updated
3. Ward-Wise Demand: User initiates → System processes → Result logged → Notification sent → Dashboard updated
4. Quality Check: User initiates → System processes → Result logged → Notification sent → Dashboard updated</t>
  </si>
  <si>
    <t>HOUSEKEEPING MANAGEMENT</t>
  </si>
  <si>
    <t>Task Scheduling, Room Turnover, Inspection, Complaint Log</t>
  </si>
  <si>
    <t>1. Task Scheduling: User initiates → System processes → Result logged → Notification sent → Dashboard updated
2. Room Turnover: User initiates → System processes → Result logged → Notification sent → Dashboard updated
3. Inspection: User initiates → System processes → Result logged → Notification sent → Dashboard updated
4. Complaint Log: User initiates → System processes → Result logged → Notification sent → Dashboard updated</t>
  </si>
  <si>
    <t>SECURITY MANAGEMENT</t>
  </si>
  <si>
    <t>Visitor Log, CCTV Dashboard, Incident Report, Access Control</t>
  </si>
  <si>
    <t>1. Visitor Log: User initiates → System processes → Result logged → Notification sent → Dashboard updated
2. CCTV Dashboard: User initiates → System processes → Result logged → Notification sent → Dashboard updated
3. Incident Report: User initiates → System processes → Result logged → Notification sent → Dashboard updated
4. Access Control: User initiates → System processes → Result logged → Notification sent → Dashboard updated</t>
  </si>
  <si>
    <t>BIOMEDICAL ENGINEERING</t>
  </si>
  <si>
    <t>Equipment Registry, AMC Tracking, Breakdown Log, Calibration</t>
  </si>
  <si>
    <t>1. Equipment Registry: User initiates → System processes → Result logged → Notification sent → Dashboard updated
2. AMC Tracking: User initiates → System processes → Result logged → Notification sent → Dashboard updated
3. Breakdown Log: User initiates → System processes → Result logged → Notification sent → Dashboard updated
4. Calibration: User initiates → System processes → Result logged → Notification sent → Dashboard updated</t>
  </si>
  <si>
    <t>VENDOR MANAGEMENT</t>
  </si>
  <si>
    <t>Vendor Register, Rate Contract, Performance Score, Blacklist</t>
  </si>
  <si>
    <t>1. Vendor Register: User initiates → System processes → Result logged → Notification sent → Dashboard updated
2. Rate Contract: User initiates → System processes → Result logged → Notification sent → Dashboard updated
3. Performance Score: User initiates → System processes → Result logged → Notification sent → Dashboard updated
4. Blacklist: User initiates → System processes → Result logged → Notification sent → Dashboard updated</t>
  </si>
  <si>
    <t>BUDGET &amp; FINANCIAL PLANNING</t>
  </si>
  <si>
    <t>Dept Budget, Capex/Opex Tracking, Variance Analysis, Forecast</t>
  </si>
  <si>
    <t>1. Dept Budget: User initiates → System processes → Result logged → Notification sent → Dashboard updated
2. Capex/Opex Tracking: User initiates → System processes → Result logged → Notification sent → Dashboard updated
3. Variance Analysis: User initiates → System processes → Result logged → Notification sent → Dashboard updated
4. Forecast: User initiates → System processes → Result logged → Notification sent → Dashboard updated</t>
  </si>
  <si>
    <t>LEGAL &amp; COMPLIANCE</t>
  </si>
  <si>
    <t>Licence Tracker, AERB/PCB/Fire, Legal Case Log, Audit Trail</t>
  </si>
  <si>
    <t>1. Licence Tracker: User initiates → System processes → Result logged → Notification sent → Dashboard updated
2. AERB/PCB/Fire: User initiates → System processes → Result logged → Notification sent → Dashboard updated
3. Legal Case Log: User initiates → System processes → Result logged → Notification sent → Dashboard updated
4. Audit Trail: User initiates → System processes → Result logged → Notification sent → Dashboard updated</t>
  </si>
  <si>
    <t>QUALITY MANAGEMENT (NABH/JCI)</t>
  </si>
  <si>
    <t>Indicator Tracking, SOP Repository, Internal Audit, Gap Analysis</t>
  </si>
  <si>
    <t>1. Indicator Tracking: User initiates → System processes → Result logged → Notification sent → Dashboard updated
2. SOP Repository: User initiates → System processes → Result logged → Notification sent → Dashboard updated
3. Internal Audit: User initiates → System processes → Result logged → Notification sent → Dashboard updated
4. Gap Analysis: User initiates → System processes → Result logged → Notification sent → Dashboard updated</t>
  </si>
  <si>
    <t>WASTE MANAGEMENT</t>
  </si>
  <si>
    <t>BMW Segregation, Daily Log, SPCB Reports, Vendor Pickup Track</t>
  </si>
  <si>
    <t>1. BMW Segregation: User initiates → System processes → Result logged → Notification sent → Dashboard updated
2. Daily Log: User initiates → System processes → Result logged → Notification sent → Dashboard updated
3. SPCB Reports: User initiates → System processes → Result logged → Notification sent → Dashboard updated
4. Vendor Pickup Track: User initiates → System processes → Result logged → Notification sent → Dashboard updated</t>
  </si>
  <si>
    <t>TRANSPORT / FLEET MANAGEMENT</t>
  </si>
  <si>
    <t>Vehicle Log, Trip Sheet, Fuel Tracking, Driver Assignment</t>
  </si>
  <si>
    <t>1. Vehicle Log: User initiates → System processes → Result logged → Notification sent → Dashboard updated
2. Trip Sheet: User initiates → System processes → Result logged → Notification sent → Dashboard updated
3. Fuel Tracking: User initiates → System processes → Result logged → Notification sent → Dashboard updated
4. Driver Assignment: User initiates → System processes → Result logged → Notification sent → Dashboard updated</t>
  </si>
  <si>
    <t>FACILITY MANAGEMENT</t>
  </si>
  <si>
    <t>Room Booking, Maintenance Request, Energy Monitor, AMC Track</t>
  </si>
  <si>
    <t>1. Room Booking: User initiates → System processes → Result logged → Notification sent → Dashboard updated
2. Maintenance Request: User initiates → System processes → Result logged → Notification sent → Dashboard updated
3. Energy Monitor: User initiates → System processes → Result logged → Notification sent → Dashboard updated
4. AMC Track: User initiates → System processes → Result logged → Notification sent → Dashboard updated</t>
  </si>
  <si>
    <t>MARKETING &amp; CRM</t>
  </si>
  <si>
    <t>Lead Capture, Campaign Track, Patient Loyalty, Referral Bonus</t>
  </si>
  <si>
    <t>1. Lead Capture: User initiates → System processes → Result logged → Notification sent → Dashboard updated
2. Campaign Track: User initiates → System processes → Result logged → Notification sent → Dashboard updated
3. Patient Loyalty: User initiates → System processes → Result logged → Notification sent → Dashboard updated
4. Referral Bonus: User initiates → System processes → Result logged → Notification sent → Dashboard updated</t>
  </si>
  <si>
    <t>TRAINING &amp; DEVELOPMENT</t>
  </si>
  <si>
    <t>Training Calendar, Attendance, Certification Track, E-Learning</t>
  </si>
  <si>
    <t>1. Training Calendar: User initiates → System processes → Result logged → Notification sent → Dashboard updated
2. Attendance: User initiates → System processes → Result logged → Notification sent → Dashboard updated
3. Certification Track: User initiates → System processes → Result logged → Notification sent → Dashboard updated
4. E-Learning: User initiates → System processes → Result logged → Notification sent → Dashboard updated</t>
  </si>
  <si>
    <t>HELP DESK / IT SUPPORT</t>
  </si>
  <si>
    <t>Ticket Raise, SLA Tracking, Asset Issue Log, Resolution Track</t>
  </si>
  <si>
    <t>1. Ticket Raise: User initiates → System processes → Result logged → Notification sent → Dashboard updated
2. SLA Tracking: User initiates → System processes → Result logged → Notification sent → Dashboard updated
3. Asset Issue Log: User initiates → System processes → Result logged → Notification sent → Dashboard updated
4. Resolution Track: User initiates → System processes → Result logged → Notification sent → Dashboard updated</t>
  </si>
  <si>
    <t>ATTENDANCE &amp; BIOMETRIC</t>
  </si>
  <si>
    <t>Punch-In/Out, Shift Mapping, Leave Integration, OT Calc</t>
  </si>
  <si>
    <t>1. Punch-In/Out: User initiates → System processes → Result logged → Notification sent → Dashboard updated
2. Shift Mapping: User initiates → System processes → Result logged → Notification sent → Dashboard updated
3. Leave Integration: User initiates → System processes → Result logged → Notification sent → Dashboard updated
4. OT Calc: User initiates → System processes → Result logged → Notification sent → Dashboard updated</t>
  </si>
  <si>
    <t>DUTY ROSTER MANAGEMENT</t>
  </si>
  <si>
    <t>Shift Planner, Swap Request, Auto-Assign, Dept-Wise View</t>
  </si>
  <si>
    <t>1. Shift Planner: User initiates → System processes → Result logged → Notification sent → Dashboard updated
2. Swap Request: User initiates → System processes → Result logged → Notification sent → Dashboard updated
3. Auto-Assign: User initiates → System processes → Result logged → Notification sent → Dashboard updated
4. Dept-Wise View: User initiates → System processes → Result logged → Notification sent → Dashboard updated</t>
  </si>
  <si>
    <t>CONTRACT MANAGEMENT</t>
  </si>
  <si>
    <t>Contract Repository, Renewal Alerts, Milestone Tracking</t>
  </si>
  <si>
    <t>1. Contract Repository: User initiates → System processes → Result logged → Notification sent → Dashboard updated
2. Renewal Alerts: User initiates → System processes → Result logged → Notification sent → Dashboard updated
3. Milestone Tracking: User initiates → System processes → Result logged → Notification sent → Dashboard updated</t>
  </si>
  <si>
    <t>PATIENT GRIEVANCE / FEEDBACK</t>
  </si>
  <si>
    <t>Complaint Register, Escalation Matrix, Resolution TAT, Reports</t>
  </si>
  <si>
    <t>1. Complaint Register: User initiates → System processes → Result logged → Notification sent → Dashboard updated
2. Escalation Matrix: User initiates → System processes → Result logged → Notification sent → Dashboard updated
3. Resolution TAT: User initiates → System processes → Result logged → Notification sent → Dashboard updated
4. Reports: User initiates → System processes → Result logged → Notification sent → Dashboard updated</t>
  </si>
  <si>
    <t>DIETARY / KITCHEN MANAGEMENT</t>
  </si>
  <si>
    <t>Diet Order Integration, Menu Planner, Meal Dispatch, Waste Log</t>
  </si>
  <si>
    <t>1. Diet Order Integration: User initiates → System processes → Result logged → Notification sent → Dashboard updated
2. Menu Planner: User initiates → System processes → Result logged → Notification sent → Dashboard updated
3. Meal Dispatch: User initiates → System processes → Result logged → Notification sent → Dashboard updated
4. Waste Log: User initiates → System processes → Result logged → Notification sent → Dashboard updated</t>
  </si>
  <si>
    <t>MORGUE / BODY HANDOVER</t>
  </si>
  <si>
    <t>Release Register, NOK Verification, Documentation, Workflow</t>
  </si>
  <si>
    <t>1. Release Register: User initiates → System processes → Result logged → Notification sent → Dashboard updated
2. NOK Verification: User initiates → System processes → Result logged → Notification sent → Dashboard updated
3. Documentation: User initiates → System processes → Result logged → Notification sent → Dashboard updated
4. Workflow: User initiates → System processes → Result logged → Notification sent → Dashboard updated</t>
  </si>
  <si>
    <t>HL7 / FHIR INTEGRATION</t>
  </si>
  <si>
    <t>HL7 v2 ADT/ORM, FHIR R4 API, Resource Mapping, Message Log</t>
  </si>
  <si>
    <t>1. HL7 v2 ADT/ORM: User initiates → System processes → Result logged → Notification sent → Dashboard updated
2. FHIR R4 API: User initiates → System processes → Result logged → Notification sent → Dashboard updated
3. Resource Mapping: User initiates → System processes → Result logged → Notification sent → Dashboard updated
4. Message Log: User initiates → System processes → Result logged → Notification sent → Dashboard updated</t>
  </si>
  <si>
    <t>ABDM / ABHA INTEGRATION</t>
  </si>
  <si>
    <t>ABHA ID Creation, Health Locker, Consent Manager, HIP/HIU</t>
  </si>
  <si>
    <t>1. ABHA ID Creation: User initiates → System processes → Result logged → Notification sent → Dashboard updated
2. Health Locker: User initiates → System processes → Result logged → Notification sent → Dashboard updated
3. Consent Manager: User initiates → System processes → Result logged → Notification sent → Dashboard updated
4. HIP/HIU: User initiates → System processes → Result logged → Notification sent → Dashboard updated</t>
  </si>
  <si>
    <t>PAYMENT GATEWAY INTEGRATION</t>
  </si>
  <si>
    <t>Razorpay/PayTM/UPI, Refund Workflow, Reconciliation, Ledger</t>
  </si>
  <si>
    <t>1. Razorpay/PayTM/UPI: User initiates → System processes → Result logged → Notification sent → Dashboard updated
2. Refund Workflow: User initiates → System processes → Result logged → Notification sent → Dashboard updated
3. Reconciliation: User initiates → System processes → Result logged → Notification sent → Dashboard updated
4. Ledger: User initiates → System processes → Result logged → Notification sent → Dashboard updated</t>
  </si>
  <si>
    <t>BIOMETRIC INTEGRATION</t>
  </si>
  <si>
    <t>Fingerprint/Iris, Staff Attendance, Patient ID Verification</t>
  </si>
  <si>
    <t>1. Fingerprint/Iris: User initiates → System processes → Result logged → Notification sent → Dashboard updated
2. Staff Attendance: User initiates → System processes → Result logged → Notification sent → Dashboard updated
3. Patient ID Verification: User initiates → System processes → Result logged → Notification sent → Dashboard updated</t>
  </si>
  <si>
    <t>CCTV INTEGRATION</t>
  </si>
  <si>
    <t>Camera Feed Dashboard, Event Tagging, Playback, Alert Triggers</t>
  </si>
  <si>
    <t>1. Camera Feed Dashboard: User initiates → System processes → Result logged → Notification sent → Dashboard updated
2. Event Tagging: User initiates → System processes → Result logged → Notification sent → Dashboard updated
3. Playback: User initiates → System processes → Result logged → Notification sent → Dashboard updated
4. Alert Triggers: User initiates → System processes → Result logged → Notification sent → Dashboard updated</t>
  </si>
  <si>
    <t>BACKUP &amp; DISASTER RECOVERY</t>
  </si>
  <si>
    <t>Auto Backup, DR Drill Log, RPO/RTO Config, Cloud Replication</t>
  </si>
  <si>
    <t>1. Auto Backup: User initiates → System processes → Result logged → Notification sent → Dashboard updated
2. DR Drill Log: User initiates → System processes → Result logged → Notification sent → Dashboard updated
3. RPO/RTO Config: User initiates → System processes → Result logged → Notification sent → Dashboard updated
4. Cloud Replication: User initiates → System processes → Result logged → Notification sent → Dashboard updated</t>
  </si>
  <si>
    <t>CYBERSECURITY MODULE</t>
  </si>
  <si>
    <t>Threat Monitor, Vulnerability Scan, Patch Mgmt, Incident Log</t>
  </si>
  <si>
    <t>1. Threat Monitor: User initiates → System processes → Result logged → Notification sent → Dashboard updated
2. Vulnerability Scan: User initiates → System processes → Result logged → Notification sent → Dashboard updated
3. Patch Mgmt: User initiates → System processes → Result logged → Notification sent → Dashboard updated
4. Incident Log: User initiates → System processes → Result logged → Notification sent → Dashboard updated</t>
  </si>
  <si>
    <t>AUDIT TRAIL &amp; LOGGING</t>
  </si>
  <si>
    <t>User Activity Log, Data Change History, Login Audit, Reports</t>
  </si>
  <si>
    <t>1. User Activity Log: User initiates → System processes → Result logged → Notification sent → Dashboard updated
2. Data Change History: User initiates → System processes → Result logged → Notification sent → Dashboard updated
3. Login Audit: User initiates → System processes → Result logged → Notification sent → Dashboard updated
4. Reports: User initiates → System processes → Result logged → Notification sent → Dashboard updated</t>
  </si>
  <si>
    <t>RBAC / ACCESS CONTROL</t>
  </si>
  <si>
    <t>Role Config, Permission Matrix, Dept-Level Access, IP Whitelist</t>
  </si>
  <si>
    <t>1. Role Config: User initiates → System processes → Result logged → Notification sent → Dashboard updated
2. Permission Matrix: User initiates → System processes → Result logged → Notification sent → Dashboard updated
3. Dept-Level Access: User initiates → System processes → Result logged → Notification sent → Dashboard updated
4. IP Whitelist: User initiates → System processes → Result logged → Notification sent → Dashboard updated</t>
  </si>
  <si>
    <t>SINGLE SIGN-ON (SSO)</t>
  </si>
  <si>
    <t>LDAP/AD Integration, OAuth 2.0, SAML, Session Management</t>
  </si>
  <si>
    <t>1. LDAP/AD Integration: User initiates → System processes → Result logged → Notification sent → Dashboard updated
2. OAuth 2.0: User initiates → System processes → Result logged → Notification sent → Dashboard updated
3. SAML: User initiates → System processes → Result logged → Notification sent → Dashboard updated
4. Session Management: User initiates → System processes → Result logged → Notification sent → Dashboard updated</t>
  </si>
  <si>
    <t>API GATEWAY / ESB</t>
  </si>
  <si>
    <t>API Registry, Rate Limiting, Transformation, Monitoring</t>
  </si>
  <si>
    <t>1. API Registry: User initiates → System processes → Result logged → Notification sent → Dashboard updated
2. Rate Limiting: User initiates → System processes → Result logged → Notification sent → Dashboard updated
3. Transformation: User initiates → System processes → Result logged → Notification sent → Dashboard updated
4. Monitoring: User initiates → System processes → Result logged → Notification sent → Dashboard updated</t>
  </si>
  <si>
    <t>MASTER DATA MANAGEMENT</t>
  </si>
  <si>
    <t>Facility Master, Drug Master, ICD/CPT Master, Sync Engine</t>
  </si>
  <si>
    <t>1. Facility Master: User initiates → System processes → Result logged → Notification sent → Dashboard updated
2. Drug Master: User initiates → System processes → Result logged → Notification sent → Dashboard updated
3. ICD/CPT Master: User initiates → System processes → Result logged → Notification sent → Dashboard updated
4. Sync Engine: User initiates → System processes → Result logged → Notification sent → Dashboard updated</t>
  </si>
  <si>
    <t>CONSENT MANAGEMENT</t>
  </si>
  <si>
    <t>Digital Consent Forms, E-Sign, Consent Audit, Template Builder</t>
  </si>
  <si>
    <t>1. Digital Consent Forms: User initiates → System processes → Result logged → Notification sent → Dashboard updated
2. E-Sign: User initiates → System processes → Result logged → Notification sent → Dashboard updated
3. Consent Audit: User initiates → System processes → Result logged → Notification sent → Dashboard updated
4. Template Builder: User initiates → System processes → Result logged → Notification sent → Dashboard updated</t>
  </si>
  <si>
    <t>CLINICAL DECISION SUPPORT (CDSS)</t>
  </si>
  <si>
    <t>Drug Interaction Alert, Allergy Check, Protocol Suggest, AI Triage</t>
  </si>
  <si>
    <t>1. Drug Interaction Alert: User initiates → System processes → Result logged → Notification sent → Dashboard updated
2. Allergy Check: User initiates → System processes → Result logged → Notification sent → Dashboard updated
3. Protocol Suggest: User initiates → System processes → Result logged → Notification sent → Dashboard updated
4. AI Triage: User initiates → System processes → Result logged → Notification sent → Dashboard updated</t>
  </si>
  <si>
    <t>PATIENT FEEDBACK &amp; SURVEY</t>
  </si>
  <si>
    <t>NPS Survey, Post-Visit Feedback, WhatsApp Survey, Analytics</t>
  </si>
  <si>
    <t>1. NPS Survey: User initiates → System processes → Result logged → Notification sent → Dashboard updated
2. Post-Visit Feedback: User initiates → System processes → Result logged → Notification sent → Dashboard updated
3. WhatsApp Survey: User initiates → System processes → Result logged → Notification sent → Dashboard updated
4. Analytics: User initiates → System processes → Result logged → Notification sent → Dashboard updated</t>
  </si>
  <si>
    <t>NABL INTEGRATION</t>
  </si>
  <si>
    <t>QC Data Upload, EQA Tracking, Instrument Validation, Reports</t>
  </si>
  <si>
    <t>1. QC Data Upload: User initiates → System processes → Result logged → Notification sent → Dashboard updated
2. EQA Tracking: User initiates → System processes → Result logged → Notification sent → Dashboard updated
3. Instrument Validation: User initiates → System processes → Result logged → Notification sent → Dashboard updated
4. Reports: User initiates → System processes → Result logged → Notification sent → Dashboard updated</t>
  </si>
  <si>
    <t>E-SIGN / DIGITAL SIGNATURE</t>
  </si>
  <si>
    <t>Aadhaar eSign, DSC Integration, Document Stamping, Verify</t>
  </si>
  <si>
    <t>1. Aadhaar eSign: User initiates → System processes → Result logged → Notification sent → Dashboard updated
2. DSC Integration: User initiates → System processes → Result logged → Notification sent → Dashboard updated
3. Document Stamping: User initiates → System processes → Result logged → Notification sent → Dashboard updated
4. Verify: User initiates → System processes → Result logged → Notification sent → Dashboard updated</t>
  </si>
  <si>
    <t>BARCODE / QR CODE MODULE</t>
  </si>
  <si>
    <t>Label Printing, Wristband Generation, Asset Tag, Scan Verify</t>
  </si>
  <si>
    <t>1. Label Printing: User initiates → System processes → Result logged → Notification sent → Dashboard updated
2. Wristband Generation: User initiates → System processes → Result logged → Notification sent → Dashboard updated
3. Asset Tag: User initiates → System processes → Result logged → Notification sent → Dashboard updated
4. Scan Verify: User initiates → System processes → Result logged → Notification sent → Dashboard updated</t>
  </si>
  <si>
    <t>EMAIL INTEGRATION</t>
  </si>
  <si>
    <t>SMTP Config, Template Engine, Auto-Notify, Delivery Track</t>
  </si>
  <si>
    <t>1. SMTP Config: User initiates → System processes → Result logged → Notification sent → Dashboard updated
2. Template Engine: User initiates → System processes → Result logged → Notification sent → Dashboard updated
3. Auto-Notify: User initiates → System processes → Result logged → Notification sent → Dashboard updated
4. Delivery Track: User initiates → System processes → Result logged → Notification sent → Dashboard updated</t>
  </si>
  <si>
    <t>IVR / CALL CENTER INTEGRATION</t>
  </si>
  <si>
    <t>IVR Flow, Call Logging, Appointment via IVR, Call Recording</t>
  </si>
  <si>
    <t>1. IVR Flow: User initiates → System processes → Result logged → Notification sent → Dashboard updated
2. Call Logging: User initiates → System processes → Result logged → Notification sent → Dashboard updated
3. Appointment via IVR: User initiates → System processes → Result logged → Notification sent → Dashboard updated
4. Call Recording: User initiates → System processes → Result logged → Notification sent → Dashboard updated</t>
  </si>
  <si>
    <t>KIOSK INTEGRATION</t>
  </si>
  <si>
    <t>Self Check-In, Token Print, Payment Kiosk, Feedback Kiosk</t>
  </si>
  <si>
    <t>1. Self Check-In: User initiates → System processes → Result logged → Notification sent → Dashboard updated
2. Token Print: User initiates → System processes → Result logged → Notification sent → Dashboard updated
3. Payment Kiosk: User initiates → System processes → Result logged → Notification sent → Dashboard updated
4. Feedback Kiosk: User initiates → System processes → Result logged → Notification sent → Dashboard updated</t>
  </si>
  <si>
    <t>RIS (RADIOLOGY INFO SYSTEM)</t>
  </si>
  <si>
    <t>Worklist, Modality Integration, Report Dictation, DICOM</t>
  </si>
  <si>
    <t>1. Worklist: User initiates → System processes → Result logged → Notification sent → Dashboard updated
2. Modality Integration: User initiates → System processes → Result logged → Notification sent → Dashboard updated
3. Report Dictation: User initiates → System processes → Result logged → Notification sent → Dashboard updated
4. DICOM: User initiates → System processes → Result logged → Notification sent → Dashboard updated</t>
  </si>
  <si>
    <t>Revenue Cycle Mgmt</t>
  </si>
  <si>
    <t>CLAIMS MANAGEMENT</t>
  </si>
  <si>
    <t>Claim Submission, Tracking, Rejection Analysis, Resubmission</t>
  </si>
  <si>
    <t>1. Claim Submission: User initiates → System processes → Result logged → Notification sent → Dashboard updated
2. Tracking: User initiates → System processes → Result logged → Notification sent → Dashboard updated
3. Rejection Analysis: User initiates → System processes → Result logged → Notification sent → Dashboard updated
4. Resubmission: User initiates → System processes → Result logged → Notification sent → Dashboard updated</t>
  </si>
  <si>
    <t>DENIAL MANAGEMENT</t>
  </si>
  <si>
    <t>Denial Reason Log, Appeal Workflow, Root Cause, Trend Report</t>
  </si>
  <si>
    <t>1. Denial Reason Log: User initiates → System processes → Result logged → Notification sent → Dashboard updated
2. Appeal Workflow: User initiates → System processes → Result logged → Notification sent → Dashboard updated
3. Root Cause: User initiates → System processes → Result logged → Notification sent → Dashboard updated
4. Trend Report: User initiates → System processes → Result logged → Notification sent → Dashboard updated</t>
  </si>
  <si>
    <t>AR FOLLOW-UP</t>
  </si>
  <si>
    <t>Aging Report, Payer-Wise Outstanding, Auto Reminder, Write-Off</t>
  </si>
  <si>
    <t>1. Aging Report: User initiates → System processes → Result logged → Notification sent → Dashboard updated
2. Payer-Wise Outstanding: User initiates → System processes → Result logged → Notification sent → Dashboard updated
3. Auto Reminder: User initiates → System processes → Result logged → Notification sent → Dashboard updated
4. Write-Off: User initiates → System processes → Result logged → Notification sent → Dashboard updated</t>
  </si>
  <si>
    <t>PRE-AUTHORIZATION</t>
  </si>
  <si>
    <t>Prior Auth Request, Status Track, Document Upload, Approval</t>
  </si>
  <si>
    <t>1. Prior Auth Request: User initiates → System processes → Result logged → Notification sent → Dashboard updated
2. Status Track: User initiates → System processes → Result logged → Notification sent → Dashboard updated
3. Document Upload: User initiates → System processes → Result logged → Notification sent → Dashboard updated
4. Approval: User initiates → System processes → Result logged → Notification sent → Dashboard updated</t>
  </si>
  <si>
    <t>REVENUE LEAKAGE AUDIT</t>
  </si>
  <si>
    <t>Charge Capture Check, Unbilled Services, Variance Alert</t>
  </si>
  <si>
    <t>1. Charge Capture Check: User initiates → System processes → Result logged → Notification sent → Dashboard updated
2. Unbilled Services: User initiates → System processes → Result logged → Notification sent → Dashboard updated
3. Variance Alert: User initiates → System processes → Result logged → Notification sent → Dashboard updated</t>
  </si>
  <si>
    <t>TARIFF MANAGEMENT</t>
  </si>
  <si>
    <t>Rate Master, Payer-Wise Tariff, Rate Revision, Comparison</t>
  </si>
  <si>
    <t>1. Rate Master: User initiates → System processes → Result logged → Notification sent → Dashboard updated
2. Payer-Wise Tariff: User initiates → System processes → Result logged → Notification sent → Dashboard updated
3. Rate Revision: User initiates → System processes → Result logged → Notification sent → Dashboard updated
4. Comparison: User initiates → System processes → Result logged → Notification sent → Dashboard updated</t>
  </si>
  <si>
    <t>Patient Engagement</t>
  </si>
  <si>
    <t>PATIENT PORTAL (WEB)</t>
  </si>
  <si>
    <t>Login, Records View, Lab Reports, Appointments, Bill Pay</t>
  </si>
  <si>
    <t>1. Login: User initiates → System processes → Result logged → Notification sent → Dashboard updated
2. Records View: User initiates → System processes → Result logged → Notification sent → Dashboard updated
3. Lab Reports: User initiates → System processes → Result logged → Notification sent → Dashboard updated
4. Appointments: User initiates → System processes → Result logged → Notification sent → Dashboard updated
5. Bill Pay: User initiates → System processes → Result logged → Notification sent → Dashboard updated</t>
  </si>
  <si>
    <t>HEALTH EDUCATION</t>
  </si>
  <si>
    <t>Condition Library, Video, Multilingual Content, Push Notify</t>
  </si>
  <si>
    <t>1. Condition Library: User initiates → System processes → Result logged → Notification sent → Dashboard updated
2. Video: User initiates → System processes → Result logged → Notification sent → Dashboard updated
3. Multilingual Content: User initiates → System processes → Result logged → Notification sent → Dashboard updated
4. Push Notify: User initiates → System processes → Result logged → Notification sent → Dashboard updated</t>
  </si>
  <si>
    <t>FOLLOW-UP MANAGEMENT</t>
  </si>
  <si>
    <t>Auto Follow-Up Reminder, Recall List, No-Show Tracking</t>
  </si>
  <si>
    <t>1. Auto Follow-Up Reminder: User initiates → System processes → Result logged → Notification sent → Dashboard updated
2. Recall List: User initiates → System processes → Result logged → Notification sent → Dashboard updated
3. No-Show Tracking: User initiates → System processes → Result logged → Notification sent → Dashboard updated</t>
  </si>
  <si>
    <t>PATIENT COMMUNITY</t>
  </si>
  <si>
    <t>Support Groups, Forum, Doctor Q&amp;A, Event Calendar</t>
  </si>
  <si>
    <t>1. Support Groups: User initiates → System processes → Result logged → Notification sent → Dashboard updated
2. Forum: User initiates → System processes → Result logged → Notification sent → Dashboard updated
3. Doctor Q&amp;A: User initiates → System processes → Result logged → Notification sent → Dashboard updated
4. Event Calendar: User initiates → System processes → Result logged → Notification sent → Dashboard updated</t>
  </si>
  <si>
    <t>LOYALTY &amp; WELLNESS PROGRAM</t>
  </si>
  <si>
    <t>Points System, Health Goals, Rewards, Annual Check-Up Remind</t>
  </si>
  <si>
    <t>1. Points System: User initiates → System processes → Result logged → Notification sent → Dashboard updated
2. Health Goals: User initiates → System processes → Result logged → Notification sent → Dashboard updated
3. Rewards: User initiates → System processes → Result logged → Notification sent → Dashboard updated
4. Annual Check-Up Remind: User initiates → System processes → Result logged → Notification sent → Dashboard updated</t>
  </si>
  <si>
    <t>AI &amp; Advanced Tech</t>
  </si>
  <si>
    <t>AI VOICE ASSISTANT</t>
  </si>
  <si>
    <t>Voice-Driven Navigation, Multilingual, Command Parsing, NLP</t>
  </si>
  <si>
    <t>1. Voice-Driven Navigation: User initiates → System processes → Result logged → Notification sent → Dashboard updated
2. Multilingual: User initiates → System processes → Result logged → Notification sent → Dashboard updated
3. Command Parsing: User initiates → System processes → Result logged → Notification sent → Dashboard updated
4. NLP: User initiates → System processes → Result logged → Notification sent → Dashboard updated</t>
  </si>
  <si>
    <t>AI CHATBOT (INTELLIBOT)</t>
  </si>
  <si>
    <t>Patient Query Bot, Symptom Checker, Appointment Bot, FAQ</t>
  </si>
  <si>
    <t>1. Patient Query Bot: User initiates → System processes → Result logged → Notification sent → Dashboard updated
2. Symptom Checker: User initiates → System processes → Result logged → Notification sent → Dashboard updated
3. Appointment Bot: User initiates → System processes → Result logged → Notification sent → Dashboard updated
4. FAQ: User initiates → System processes → Result logged → Notification sent → Dashboard updated</t>
  </si>
  <si>
    <t>AI DOCUMENT EXTRACTION (DOCXTRACT)</t>
  </si>
  <si>
    <t>Prescription OCR, Lab Report Parsing, Insurance Doc Extract</t>
  </si>
  <si>
    <t>1. Prescription OCR: User initiates → System processes → Result logged → Notification sent → Dashboard updated
2. Lab Report Parsing: User initiates → System processes → Result logged → Notification sent → Dashboard updated
3. Insurance Doc Extract: User initiates → System processes → Result logged → Notification sent → Dashboard updated</t>
  </si>
  <si>
    <t>PREDICTIVE ANALYTICS</t>
  </si>
  <si>
    <t>Readmission Risk, No-Show Prediction, Demand Forecast, LOS</t>
  </si>
  <si>
    <t>1. Readmission Risk: User initiates → System processes → Result logged → Notification sent → Dashboard updated
2. No-Show Prediction: User initiates → System processes → Result logged → Notification sent → Dashboard updated
3. Demand Forecast: User initiates → System processes → Result logged → Notification sent → Dashboard updated
4. LOS: User initiates → System processes → Result logged → Notification sent → Dashboard updated</t>
  </si>
  <si>
    <t>AI-ASSISTED CODING (ICD/CPT)</t>
  </si>
  <si>
    <t>Auto Code Suggest, NLP Clinical Notes, DRG Grouper, Audit</t>
  </si>
  <si>
    <t>1. Auto Code Suggest: User initiates → System processes → Result logged → Notification sent → Dashboard updated
2. NLP Clinical Notes: User initiates → System processes → Result logged → Notification sent → Dashboard updated
3. DRG Grouper: User initiates → System processes → Result logged → Notification sent → Dashboard updated
4. Audit: User initiates → System processes → Result logged → Notification sent → Dashboard updated</t>
  </si>
  <si>
    <t>AI RADIOLOGY ASSIST</t>
  </si>
  <si>
    <t>Image Annotation, Abnormality Flag, Report Draft, Priority Queue</t>
  </si>
  <si>
    <t>1. Image Annotation: User initiates → System processes → Result logged → Notification sent → Dashboard updated
2. Abnormality Flag: User initiates → System processes → Result logged → Notification sent → Dashboard updated
3. Report Draft: User initiates → System processes → Result logged → Notification sent → Dashboard updated
4. Priority Queue: User initiates → System processes → Result logged → Notification sent → Dashboard updated</t>
  </si>
  <si>
    <t>SUMMARY</t>
  </si>
  <si>
    <t>Original Modules (Input)</t>
  </si>
  <si>
    <t>60</t>
  </si>
  <si>
    <t>New OPD Modules Added</t>
  </si>
  <si>
    <t>19</t>
  </si>
  <si>
    <t>New IP Modules Added</t>
  </si>
  <si>
    <t>13</t>
  </si>
  <si>
    <t>New Non Clinical Modules Added</t>
  </si>
  <si>
    <t>20</t>
  </si>
  <si>
    <t>New Enabler Modules Added</t>
  </si>
  <si>
    <t>22</t>
  </si>
  <si>
    <t>New Category: Revenue Cycle Mgmt</t>
  </si>
  <si>
    <t>6</t>
  </si>
  <si>
    <t>New Category: Patient Engagement</t>
  </si>
  <si>
    <t>5</t>
  </si>
  <si>
    <t>New Category: AI &amp; Advanced Tech</t>
  </si>
  <si>
    <t>TOTAL MODULES (Comprehensive HMS)</t>
  </si>
  <si>
    <t>VIMS ENTERPRISE — HMS Implementation Costing Proposal | OPD + IP + Trauma Center Ecosystem</t>
  </si>
  <si>
    <t>Client: FAMI CARE Hospital  |  Prepared By: VIMS ENTERPRISE  |  Date: April 2026  |  Version: 3.0  |  Confidential</t>
  </si>
  <si>
    <t>Module ID</t>
  </si>
  <si>
    <t>Module Name</t>
  </si>
  <si>
    <t>Key Functions</t>
  </si>
  <si>
    <t>Priority</t>
  </si>
  <si>
    <t>Complexity</t>
  </si>
  <si>
    <t>Dev Effort
(Man-Days)</t>
  </si>
  <si>
    <t>Dev Cost
(₹ Lakhs)</t>
  </si>
  <si>
    <t>AMC/Year
(₹ Lakhs)</t>
  </si>
  <si>
    <t>Implementation
Weeks</t>
  </si>
  <si>
    <t>Remarks</t>
  </si>
  <si>
    <t xml:space="preserve">  OPD CLINICAL MODULES</t>
  </si>
  <si>
    <t>OPD Clinical</t>
  </si>
  <si>
    <t>OP-001</t>
  </si>
  <si>
    <t>Front Office &amp; Registration</t>
  </si>
  <si>
    <t>Patient Registration, ABHA/ABDM, Appointments, Queue Mgmt, Token, Walk-In, Staff Mgmt, Doctor Schedule</t>
  </si>
  <si>
    <t>Must Have</t>
  </si>
  <si>
    <t>High</t>
  </si>
  <si>
    <t>P0 – Core module, first to build</t>
  </si>
  <si>
    <t>OP-002</t>
  </si>
  <si>
    <t>OPD / CPOE (Doctor Dashboard)</t>
  </si>
  <si>
    <t>Live Queue, Consultation, ICD-10 Diagnosis, E-Prescription, Lab/Radiology Orders, Patient History, Templates</t>
  </si>
  <si>
    <t>P0 – Heart of clinical workflow</t>
  </si>
  <si>
    <t>OP-003</t>
  </si>
  <si>
    <t>Pharmacy Management</t>
  </si>
  <si>
    <t>E-Rx Dashboard, Dispensing, Barcode Scan, Inventory, Expiry Alerts, OTC, Narcotic Register, Drug Interaction</t>
  </si>
  <si>
    <t>P0 – Revenue-critical</t>
  </si>
  <si>
    <t>OP-004</t>
  </si>
  <si>
    <t>Laboratory (LIS)</t>
  </si>
  <si>
    <t>Orders, Sample Collection, Barcode, Result Entry, Auto-Flag, Critical Alert, PDF Report, TAT, QC</t>
  </si>
  <si>
    <t>P0 – NABL compliance needed</t>
  </si>
  <si>
    <t>OP-005</t>
  </si>
  <si>
    <t>OP Billing &amp; Revenue</t>
  </si>
  <si>
    <t>Master Bill, Multi-Payment (Cash/Card/UPI/Razorpay), Digital Receipt, Revenue MIS, GST, Refund, Discount</t>
  </si>
  <si>
    <t>P0 – Revenue integrity</t>
  </si>
  <si>
    <t>OP-006</t>
  </si>
  <si>
    <t>Emergency &amp; Trauma Intake</t>
  </si>
  <si>
    <t>Quick Registration, 5-Level Triage (ESI), Color-Coded Priority, ER Bed Mgmt, On-Call Alert, MLC, Ambulance Link</t>
  </si>
  <si>
    <t>Very High</t>
  </si>
  <si>
    <t>P0 – TRAUMA CENTER CORE</t>
  </si>
  <si>
    <t>OP-007</t>
  </si>
  <si>
    <t>Vital Room / Nursing Pre-Consult</t>
  </si>
  <si>
    <t>BP, SpO2, Glucose, Temp, Pulse, Height/Weight/BMI, Abnormal Alert, Device Integration, Queue Link</t>
  </si>
  <si>
    <t>Medium</t>
  </si>
  <si>
    <t>P0 – Pre-consultation prep</t>
  </si>
  <si>
    <t>OP-008</t>
  </si>
  <si>
    <t>Radiology &amp; Imaging</t>
  </si>
  <si>
    <t>Orders, DICOM MWL, PACS Integration, Structured Reporting, Critical Findings Alert, Dose Tracking, TAT</t>
  </si>
  <si>
    <t>P0 – TRAUMA: X-Ray/CT critical</t>
  </si>
  <si>
    <t>OP-009</t>
  </si>
  <si>
    <t>Orthopedic OPD Module</t>
  </si>
  <si>
    <t>Fracture Registry, Implant Log, Casting/Splint Tracking, X-Ray Comparison, Post-Op Follow-Up, Rehab Referral</t>
  </si>
  <si>
    <t>P0 – ORTHO SPECIALTY CORE</t>
  </si>
  <si>
    <t>OP-010</t>
  </si>
  <si>
    <t>Scheduling, Pre-Procedure Checklist, Consent Capture, Documentation, Consumables, Photo/Video, Billing</t>
  </si>
  <si>
    <t>P1 – Minor procedures OP</t>
  </si>
  <si>
    <t>OP-011</t>
  </si>
  <si>
    <t>Dietician Module</t>
  </si>
  <si>
    <t>Nutritional Assessment, BMI, Diet Plans, Templates, IP Diet Coordination, Follow-Up, Progress Charts</t>
  </si>
  <si>
    <t>Good to Have</t>
  </si>
  <si>
    <t>Low</t>
  </si>
  <si>
    <t>P2</t>
  </si>
  <si>
    <t>OP-012</t>
  </si>
  <si>
    <t>Dialysis Module</t>
  </si>
  <si>
    <t>Session Scheduling, Machine Assignment, Vitals Monitoring, Consumables, Water Quality, Billing</t>
  </si>
  <si>
    <t>P2 – If dialysis unit exists</t>
  </si>
  <si>
    <t>OP-013</t>
  </si>
  <si>
    <t>Vaccination Module</t>
  </si>
  <si>
    <t>Schedule Generation, Administration, Batch/Expiry, Certificate, Reminder SMS, AEFI, CoWIN</t>
  </si>
  <si>
    <t>OP-014</t>
  </si>
  <si>
    <t>Health Check-Up Packages</t>
  </si>
  <si>
    <t>Package Config, Booking, Workflow Routing, Status Board, Consolidated Report, Health Score, Corporate</t>
  </si>
  <si>
    <t>P2 – Revenue opportunity</t>
  </si>
  <si>
    <t>OP-015</t>
  </si>
  <si>
    <t>Referral, Assessment, Treatment Plans, Session Scheduling, Exercise Library, Progress Tracking, Billing</t>
  </si>
  <si>
    <t>P1 – TRAUMA REHAB critical</t>
  </si>
  <si>
    <t>OP-016</t>
  </si>
  <si>
    <t>Pain Management Clinic</t>
  </si>
  <si>
    <t>Pain Scoring (NRS/VAS), Block Log, Medication Titration, Multimodal Therapy, Outcome Tracking</t>
  </si>
  <si>
    <t>P1 – TRAUMA pain pathway</t>
  </si>
  <si>
    <t>OP-017</t>
  </si>
  <si>
    <t>Wound Assessment (BWAT), Photo Documentation, Dressing Protocol, Healing Trajectory, Follow-Up</t>
  </si>
  <si>
    <t>P1 – TRAUMA wound mgmt</t>
  </si>
  <si>
    <t>OP-018</t>
  </si>
  <si>
    <t>Video Consult (WebRTC), Waiting Room, E-Rx, Lab Orders, Recording, Consent, Follow-Up</t>
  </si>
  <si>
    <t>OP-019</t>
  </si>
  <si>
    <t>Doctor Mobile App (iOS &amp; Android)</t>
  </si>
  <si>
    <t>Queue View, Vitals Preview, Quick Consult, E-Rx, Lab Results, Push Alerts, Offline Mode, Earnings</t>
  </si>
  <si>
    <t>P1 – 2 platforms</t>
  </si>
  <si>
    <t>OP-020</t>
  </si>
  <si>
    <t>Patient Mobile App (iOS &amp; Android)</t>
  </si>
  <si>
    <t>OTP Login, Booking, Queue Tracking, Records, Lab Reports, Bill Pay, Family Mgmt, Push Notifications</t>
  </si>
  <si>
    <t>P1 – Patient engagement</t>
  </si>
  <si>
    <t>OP-021</t>
  </si>
  <si>
    <t>Internal/External Referral, Tracking, TAT Monitoring, Feedback Loop, Specialist Routing</t>
  </si>
  <si>
    <t xml:space="preserve">  TRAUMA CENTER SPECIFIC MODULES</t>
  </si>
  <si>
    <t>Trauma Center</t>
  </si>
  <si>
    <t>TR-001</t>
  </si>
  <si>
    <t>Trauma Triage &amp; Assessment</t>
  </si>
  <si>
    <t>START/JumpSTART Triage, Trauma Score (ISS/RTS/TRISS), Glasgow Coma Scale, Rapid Assessment, Color Coding</t>
  </si>
  <si>
    <t>P0 – TRAUMA CORE</t>
  </si>
  <si>
    <t>TR-002</t>
  </si>
  <si>
    <t>Orthopedic Fracture Registry</t>
  </si>
  <si>
    <t>Fracture Classification (AO/OTA), Bone &amp; Location Mapping, Severity Grading, X-Ray Timeline, Treatment Plan</t>
  </si>
  <si>
    <t>P0 – ORTHO CORE</t>
  </si>
  <si>
    <t>TR-003</t>
  </si>
  <si>
    <t>Implant &amp; Prosthetics Management</t>
  </si>
  <si>
    <t>Implant Registry (Serial/Batch), Vendor/Consignment Link, Patient-Implant Trace, Recall Alert, Regulatory</t>
  </si>
  <si>
    <t>P0 – Regulatory mandatory</t>
  </si>
  <si>
    <t>TR-004</t>
  </si>
  <si>
    <t>Trauma OT Coordination</t>
  </si>
  <si>
    <t>Emergency OT Booking, WHO Checklist, Anesthesia Assessment, Intra-Op Documentation, Implant Log, C-Arm Track</t>
  </si>
  <si>
    <t>P0 – Emergency surgery flow</t>
  </si>
  <si>
    <t>TR-005</t>
  </si>
  <si>
    <t>Cast &amp; Splint Tracking</t>
  </si>
  <si>
    <t>Application Log, Material Used, Removal Schedule, Follow-Up X-Ray, Complication Monitoring, Billing</t>
  </si>
  <si>
    <t>P1 – Ortho workflow</t>
  </si>
  <si>
    <t>TR-006</t>
  </si>
  <si>
    <t>Trauma ICU Management</t>
  </si>
  <si>
    <t>Ventilator Tracking, Hourly Vitals, APACHE II/SOFA Score, Sedation Score, Multi-Organ Dashboard, Alerts</t>
  </si>
  <si>
    <t>P0 – Critical care</t>
  </si>
  <si>
    <t>TR-007</t>
  </si>
  <si>
    <t>Polytrauma Coordination Dashboard</t>
  </si>
  <si>
    <t>Multi-Specialty Case View, Surgical Priority Queue, Blood Requirement, Consent Tracking, Team Assignment</t>
  </si>
  <si>
    <t>P0 – Multi-injury coordination</t>
  </si>
  <si>
    <t>TR-008</t>
  </si>
  <si>
    <t>MLC &amp; Forensic Documentation</t>
  </si>
  <si>
    <t>MLC Register, Police Intimation, Injury Documentation (Body Map), Wound Photography, Chain of Custody, Court Reports</t>
  </si>
  <si>
    <t>P0 – Legal compliance</t>
  </si>
  <si>
    <t>TR-009</t>
  </si>
  <si>
    <t>Ambulance &amp; Pre-Hospital Integration</t>
  </si>
  <si>
    <t>108/112 Integration, GPS Tracking, Pre-Hospital Vitals Relay, ETA Display, ER Pre-Alert, Handover Docs</t>
  </si>
  <si>
    <t>P1 – Golden hour</t>
  </si>
  <si>
    <t>TR-010</t>
  </si>
  <si>
    <t>Trauma Rehabilitation Pathway</t>
  </si>
  <si>
    <t>Rehab Assessment, Functional Scoring (FIM/Barthel), Physio/OT/Speech Scheduling, Progress Milestones, Return-to-Work</t>
  </si>
  <si>
    <t>P1 – Recovery pathway</t>
  </si>
  <si>
    <t xml:space="preserve">  IP / INPATIENT MODULES</t>
  </si>
  <si>
    <t>IP / Inpatient</t>
  </si>
  <si>
    <t>IP-001</t>
  </si>
  <si>
    <t>IP Admission &amp; Bed Management</t>
  </si>
  <si>
    <t>Admission Workflow, Bed Dashboard, Ward/Room/ICU Config, Deposit, Consent, Insurance Pre-Auth Trigger</t>
  </si>
  <si>
    <t>P0 – Core IP</t>
  </si>
  <si>
    <t>IP-002</t>
  </si>
  <si>
    <t>IP Discharge &amp; Summary</t>
  </si>
  <si>
    <t>Discharge Planning, Checklist, Final Bill Consolidation, Summary Generation, Follow-Up, Medication Reconciliation</t>
  </si>
  <si>
    <t>IP-003</t>
  </si>
  <si>
    <t>Nursing Station (IP)</t>
  </si>
  <si>
    <t>Ward Dashboard, MAR, Vital Charting (Q1H/Q4H), Nursing Notes (SBAR), Shift Handover, Fall/Pressure Risk, Pain Scale</t>
  </si>
  <si>
    <t>P0 – Core IP nursing</t>
  </si>
  <si>
    <t>IP-004</t>
  </si>
  <si>
    <t>Nursing Mobile App (Android)</t>
  </si>
  <si>
    <t>Bedside Vitals, Barcode Med Verify, Push Alerts, Wound Photos, Offline Sync, Task Completion</t>
  </si>
  <si>
    <t>P1 – Bedside care</t>
  </si>
  <si>
    <t>IP-005</t>
  </si>
  <si>
    <t>Auto Room Charge Posting, Per-Day Charges, Service/Consumable Billing, Interim Bill, Package Billing, TPA Pre-Auth</t>
  </si>
  <si>
    <t>P0 – Revenue critical</t>
  </si>
  <si>
    <t>IP-006</t>
  </si>
  <si>
    <t>Operation Theatre (OT)</t>
  </si>
  <si>
    <t>OT Calendar, WHO Safety Checklist, Anesthesia Assessment, Surgery Notes, Implant Log, Consumables, Recovery Room</t>
  </si>
  <si>
    <t>P0 – TRAUMA surgery hub</t>
  </si>
  <si>
    <t>IP-007</t>
  </si>
  <si>
    <t>Donor Register, Collection, Component Separation, Cross-Match, Issue, Transfusion Reaction Monitor, SBTC/NACO</t>
  </si>
  <si>
    <t>P0 – TRAUMA: blood critical</t>
  </si>
  <si>
    <t>IP-008</t>
  </si>
  <si>
    <t>IP Package Management</t>
  </si>
  <si>
    <t>Surgery Bundles, Package Billing, Variance Tracking, Insurance Mapping, Profitability Dashboard</t>
  </si>
  <si>
    <t>P1</t>
  </si>
  <si>
    <t>IP-009</t>
  </si>
  <si>
    <t>Ventilator Tracking, Hourly Vitals, APACHE/SOFA Scoring, Sedation Scale, Multi-Organ Dashboard, Alert Cascade</t>
  </si>
  <si>
    <t>P0 – TRAUMA ICU</t>
  </si>
  <si>
    <t>IP-010</t>
  </si>
  <si>
    <t>Doctor IP Mobile (iOS &amp; Android)</t>
  </si>
  <si>
    <t>Ward Rounds View, IP Orders, Discharge Initiation, Push Alerts, Patient Chart, Dictation Mode</t>
  </si>
  <si>
    <t>IP-011</t>
  </si>
  <si>
    <t>Labour Admission, Partograph, FHR Monitor, Delivery Docs, Newborn Registration, APGAR, Birth Certificate</t>
  </si>
  <si>
    <t>P2 – If maternity unit exists</t>
  </si>
  <si>
    <t>IP-012</t>
  </si>
  <si>
    <t>HAI Surveillance, Antibiogram, Culture Reports, Alert Triggers, Hand Hygiene Audit, Isolation Protocol</t>
  </si>
  <si>
    <t>P1 – Post-surgical infection</t>
  </si>
  <si>
    <t>IP-013</t>
  </si>
  <si>
    <t>Cart Checklist, Expiry Alerts, Usage Log, Replenishment, Code Blue Protocol Documentation</t>
  </si>
  <si>
    <t>P1 – Emergency readiness</t>
  </si>
  <si>
    <t>IP-014</t>
  </si>
  <si>
    <t>IP Pharmacy (Ward Stock)</t>
  </si>
  <si>
    <t>Ward Stock, Unit Dose Dispensing, Return Management, Narcotic Control, Controlled Substance Double-Check</t>
  </si>
  <si>
    <t xml:space="preserve">  NON-CLINICAL / ADMINISTRATIVE MODULES</t>
  </si>
  <si>
    <t>Non Clinical</t>
  </si>
  <si>
    <t>NC-001</t>
  </si>
  <si>
    <t>Cash Counter</t>
  </si>
  <si>
    <t>Multi-Counter, Shift Open/Close, Cash Reconciliation, Denomination Sheet, Advance/Refund, Daily Summary</t>
  </si>
  <si>
    <t>P0</t>
  </si>
  <si>
    <t>NC-002</t>
  </si>
  <si>
    <t>Asset Management</t>
  </si>
  <si>
    <t>Asset Register, Barcode Tag, AMC/CMC, Depreciation, Preventive Maintenance, Audit, Disposal</t>
  </si>
  <si>
    <t>NC-003</t>
  </si>
  <si>
    <t>Digital MRD</t>
  </si>
  <si>
    <t>Digital File, ICD Coding, Scan/Upload, Retrieval Log, Retention Policy, Medico-Legal Flag</t>
  </si>
  <si>
    <t>P1 – Compliance</t>
  </si>
  <si>
    <t>NC-004</t>
  </si>
  <si>
    <t>Document Management</t>
  </si>
  <si>
    <t>Upload/Scan, Version Control, Role-Based Access, Approval Workflow, Expiry Alert, OCR Search</t>
  </si>
  <si>
    <t>NC-005</t>
  </si>
  <si>
    <t>Purchase &amp; Procurement</t>
  </si>
  <si>
    <t>Indent, Quotation, Comparative Statement, PO, GRN, 3-Way Match, Rate Contract, Approval Matrix</t>
  </si>
  <si>
    <t>NC-006</t>
  </si>
  <si>
    <t>Stores / Inventory</t>
  </si>
  <si>
    <t>Item Master, Stock Register, GRN, Issue/Return, Batch/Expiry (FEFO), ABC-VED, Inter-Store Transfer, Physical Count</t>
  </si>
  <si>
    <t>P0 – Supply chain core</t>
  </si>
  <si>
    <t>NC-007</t>
  </si>
  <si>
    <t>Consignment Management</t>
  </si>
  <si>
    <t>Vendor Setup, Implant/Device Log, Usage-Based Billing, Auto-PO, Expiry Return, Reconciliation</t>
  </si>
  <si>
    <t>P0 – ORTHO implants</t>
  </si>
  <si>
    <t>NC-008</t>
  </si>
  <si>
    <t>Consumption Entry</t>
  </si>
  <si>
    <t>Department-Wise Consumption, Ward Stock Issue, Auto-Deduct on Billing, Cost Centre, Variance Alert</t>
  </si>
  <si>
    <t>NC-009</t>
  </si>
  <si>
    <t>Accounts &amp; Finance</t>
  </si>
  <si>
    <t>GL, AP, AR, Bank Reconciliation, TDS/GST, Trial Balance, P&amp;L, Balance Sheet, Budget vs Actual</t>
  </si>
  <si>
    <t>P1 – Finance backbone</t>
  </si>
  <si>
    <t>NC-010</t>
  </si>
  <si>
    <t>HR &amp; Payroll</t>
  </si>
  <si>
    <t>Employee Master, Attendance/Biometric, Leave, Payroll, PF/ESI/PT, TDS, Loan, Full &amp; Final, Form 16</t>
  </si>
  <si>
    <t>NC-011</t>
  </si>
  <si>
    <t>Reports &amp; Analytics Engine</t>
  </si>
  <si>
    <t>MIS Dashboard, Revenue/Clinical/Operational Reports, Custom Report Builder, Scheduled Email, Export</t>
  </si>
  <si>
    <t>NC-012</t>
  </si>
  <si>
    <t>B2B / Corporate Billing</t>
  </si>
  <si>
    <t>Corporate Master, Credit Billing, Invoice Generation, SOA, Payment Follow-Up, TDS Certificate</t>
  </si>
  <si>
    <t>NC-013</t>
  </si>
  <si>
    <t>Ambulance Management</t>
  </si>
  <si>
    <t>Vehicle Register, Trip Sheet, Driver Assignment, GPS, Emergency Dispatch, Billing, Maintenance</t>
  </si>
  <si>
    <t>P1 – TRAUMA ambulance</t>
  </si>
  <si>
    <t>NC-014</t>
  </si>
  <si>
    <t>Mobile Apps – Staff Utility</t>
  </si>
  <si>
    <t>Staff Directory, Attendance, Leave Apply, Payslip, Announcements, Help Desk, Document Upload</t>
  </si>
  <si>
    <t>NC-015</t>
  </si>
  <si>
    <t>Quality Mgmt (NABH/JCI)</t>
  </si>
  <si>
    <t>Indicator Tracking, SOP Repository, Internal Audit, Gap Analysis, Corrective Action, Dashboard</t>
  </si>
  <si>
    <t>P2 – Accreditation</t>
  </si>
  <si>
    <t>NC-016</t>
  </si>
  <si>
    <t>Waste Management (BMW)</t>
  </si>
  <si>
    <t>BMW Segregation, Daily Log, SPCB Reports, Vendor Pickup, Color-Code Compliance, Weight Tracking</t>
  </si>
  <si>
    <t>P1 – Regulatory</t>
  </si>
  <si>
    <t xml:space="preserve">  ENABLER &amp; INTEGRATION MODULES</t>
  </si>
  <si>
    <t>Enabler / Integration</t>
  </si>
  <si>
    <t>EN-001</t>
  </si>
  <si>
    <t>Data Analytics &amp; BI</t>
  </si>
  <si>
    <t>Real-Time Dashboard, KPI Scorecards, Drill-Down, Predictive Models, Benchmarking, Scheduled Reports</t>
  </si>
  <si>
    <t>EN-002</t>
  </si>
  <si>
    <t>Insurance / TPA Module</t>
  </si>
  <si>
    <t>TPA Master, Tariff Mapping, Pre-Auth, Claim Submission, Cashless/Reimbursement, Rejection Handling, ROHINI</t>
  </si>
  <si>
    <t>EN-003</t>
  </si>
  <si>
    <t>CSSD Module</t>
  </si>
  <si>
    <t>Instrument Wrap, Sterilization Cycle, Autoclave Monitor, Tray Barcode, Issue/Return, Biological Indicator, Recall</t>
  </si>
  <si>
    <t>P0 – OT dependency</t>
  </si>
  <si>
    <t>EN-004</t>
  </si>
  <si>
    <t>Lab Machine Integration (DIU)</t>
  </si>
  <si>
    <t>HL7/ASTM Interface, Bi-Directional Flow, Auto-Validation, QC (Levy-Jennings), Error Handling</t>
  </si>
  <si>
    <t>EN-005</t>
  </si>
  <si>
    <t>Printer Integration</t>
  </si>
  <si>
    <t>Thermal/Laser/Label Config, Template Mapping, Auto-Print Triggers, Barcode Labels, Network Discovery</t>
  </si>
  <si>
    <t>EN-006</t>
  </si>
  <si>
    <t>Queue Management System</t>
  </si>
  <si>
    <t>Token Generation, Multi-Dept Queues, Priority Queue, SMS/WhatsApp Call, Wait Time Analytics, TV Display</t>
  </si>
  <si>
    <t>EN-007</t>
  </si>
  <si>
    <t>System Admin &amp; RBAC</t>
  </si>
  <si>
    <t>User Master, Role/Permission Config, Password Policy, Audit Trail, Session Mgmt, Backup Config, License</t>
  </si>
  <si>
    <t>P0 – Security backbone</t>
  </si>
  <si>
    <t>EN-008</t>
  </si>
  <si>
    <t>PACS Integration</t>
  </si>
  <si>
    <t>DICOM Viewer, Study Worklist, Cloud Archive, CD/Share, Tele-Radiology, MWL, Prior Comparison</t>
  </si>
  <si>
    <t>P0 – TRAUMA imaging</t>
  </si>
  <si>
    <t>EN-009</t>
  </si>
  <si>
    <t>SMS &amp; WhatsApp Integration</t>
  </si>
  <si>
    <t>Gateway Config, Template Master, Auto-Triggers, Delivery Tracking, DND Check, Bulk Messaging, Opt-In/Out</t>
  </si>
  <si>
    <t>EN-010</t>
  </si>
  <si>
    <t>Payment Gateway (Razorpay)</t>
  </si>
  <si>
    <t>UPI/Card/Net Banking/QR, Refund Workflow, Reconciliation, Ledger Sync</t>
  </si>
  <si>
    <t>EN-011</t>
  </si>
  <si>
    <t>ABDM / ABHA Integration</t>
  </si>
  <si>
    <t>ABHA ID Creation, Health Locker, Consent Manager, HIP/HIU, FHIR Mapping</t>
  </si>
  <si>
    <t>P0 – Government mandate</t>
  </si>
  <si>
    <t>EN-012</t>
  </si>
  <si>
    <t>Website Integration</t>
  </si>
  <si>
    <t>Online Booking Widget, Doctor Profiles, Dept Listing, Lab Report Download, Chatbot, Payment Link, SEO</t>
  </si>
  <si>
    <t>EN-013</t>
  </si>
  <si>
    <t>Barcode / QR Code Module</t>
  </si>
  <si>
    <t>Label Printing, Wristband Generation, Asset Tag, Sample Label, Scan Verification</t>
  </si>
  <si>
    <t>EN-014</t>
  </si>
  <si>
    <t>Complaint Management</t>
  </si>
  <si>
    <t>Complaint Register, Category/Priority, Auto-Assignment, Escalation, SLA Timer, Resolution, Analytics</t>
  </si>
  <si>
    <t>EN-015</t>
  </si>
  <si>
    <t>Gate Pass &amp; Visitor Mgmt</t>
  </si>
  <si>
    <t>Visitor Entry, Gate Register, Vehicle Log, Material Gate Pass, Bystander Pass, QR Validation</t>
  </si>
  <si>
    <t>EN-016</t>
  </si>
  <si>
    <t>E-Sign / Digital Signature</t>
  </si>
  <si>
    <t>Aadhaar eSign, DSC Integration, Document Stamping, Consent Forms, Verification</t>
  </si>
  <si>
    <t>EN-017</t>
  </si>
  <si>
    <t>Integration Hub (ESB/API)</t>
  </si>
  <si>
    <t>REST/SOAP/HL7/FHIR, API Registry, Rate Limiting, Data Mapping, Sync Config, Error Queue, Monitoring</t>
  </si>
  <si>
    <t>P1 – Middleware backbone</t>
  </si>
  <si>
    <t xml:space="preserve">  REVENUE CYCLE MANAGEMENT</t>
  </si>
  <si>
    <t>Revenue Cycle</t>
  </si>
  <si>
    <t>RC-001</t>
  </si>
  <si>
    <t>Claims Management</t>
  </si>
  <si>
    <t>Claim Submission, Tracking, Rejection Analysis, Resubmission, Settlement Reconciliation</t>
  </si>
  <si>
    <t>RC-002</t>
  </si>
  <si>
    <t>Pre-Authorization Engine</t>
  </si>
  <si>
    <t>Prior Auth Request, Document Upload, Status Tracking, Enhancement, Approval Amount Config</t>
  </si>
  <si>
    <t>RC-003</t>
  </si>
  <si>
    <t>Tariff Management</t>
  </si>
  <si>
    <t>Rate Master, Payer-Wise Tariff, Rate Revision, Comparison Dashboard</t>
  </si>
  <si>
    <t xml:space="preserve">  PATIENT ENGAGEMENT</t>
  </si>
  <si>
    <t>PE-001</t>
  </si>
  <si>
    <t>Patient Portal (Web)</t>
  </si>
  <si>
    <t>Login, Records View, Lab Reports, Appointments, Bill Pay, Family Management, Feedback</t>
  </si>
  <si>
    <t>PE-002</t>
  </si>
  <si>
    <t>Follow-Up Management</t>
  </si>
  <si>
    <t>Auto Follow-Up Reminder, Recall List, No-Show Tracking, Post-Discharge Call Scheduling</t>
  </si>
  <si>
    <t xml:space="preserve">  AI &amp; ADVANCED TECHNOLOGY</t>
  </si>
  <si>
    <t>AI-001</t>
  </si>
  <si>
    <t>AI Chatbot (Intellibot)</t>
  </si>
  <si>
    <t>Patient Query Bot, Symptom Checker, Appointment Bot, FAQ, Handoff to Human</t>
  </si>
  <si>
    <t>AI-002</t>
  </si>
  <si>
    <t>AI Clinical Decision Support</t>
  </si>
  <si>
    <t>Drug Interaction Alert, Allergy Check, Protocol Suggest, Triage Assist</t>
  </si>
  <si>
    <t>P2 – High clinical value</t>
  </si>
  <si>
    <t>AI-003</t>
  </si>
  <si>
    <t>AI Document Extraction</t>
  </si>
  <si>
    <t>Prescription OCR, Lab Report Parsing, Insurance Doc Extract, Auto-Fill</t>
  </si>
  <si>
    <t>GRAND TOTAL — OPD + IP + Trauma Center HMS</t>
  </si>
  <si>
    <t>Description</t>
  </si>
  <si>
    <t>Module Count</t>
  </si>
  <si>
    <t>Dev Cost (₹ Lakhs)</t>
  </si>
  <si>
    <t>AMC/Year (₹ Lakhs)</t>
  </si>
  <si>
    <t>Notes</t>
  </si>
  <si>
    <t>SUMMARY BREAKDOWN</t>
  </si>
  <si>
    <t>Must Have Modules</t>
  </si>
  <si>
    <t>Phase 1 — Mandatory for Go-Live</t>
  </si>
  <si>
    <t>Good to Have Modules</t>
  </si>
  <si>
    <t>Phase 2 — Post Go-Live Enhancement</t>
  </si>
  <si>
    <t>TOTAL PROJECT COST</t>
  </si>
  <si>
    <t>One-Time + Annual</t>
  </si>
  <si>
    <t>ASSUMPTIONS &amp; NOTES:</t>
  </si>
  <si>
    <t>1. Development rate: ₹12,000–14,000/man-day (blended rate across Full Stack, Mobile, DevOps, AI engineers)</t>
  </si>
  <si>
    <t>2. AMC = 15% of Development Cost per annum (includes bug fixes, patches, minor enhancements, server monitoring)</t>
  </si>
  <si>
    <t>3. Cloud infrastructure (AWS/Azure) costs are EXCLUDED — estimated separately at ₹1.5–2.5 Lakhs/year</t>
  </si>
  <si>
    <t>4. Third-party license costs (Razorpay, MSG91, WhatsApp Business API, PACS) are EXCLUDED — usage-based</t>
  </si>
  <si>
    <t>5. Hardware (Kiosks, Biometric, Printers, TV Displays, Barcode Scanners) — client-procured, specs provided by VIMS</t>
  </si>
  <si>
    <t>6. Training: 5 days on-site training included per module batch; additional training at ₹15,000/day</t>
  </si>
  <si>
    <t>7. All costs in Indian Rupees (₹ Lakhs). GST @18% applicable additionally</t>
  </si>
  <si>
    <t>8. Payment Terms: 30% Advance | 30% on UAT | 30% on Go-Live | 10% Post 30-Day Stabilization</t>
  </si>
  <si>
    <t>9. Trauma Center modules (TR-001 to TR-010) are MANDATORY for this client scope — priced as Must Have</t>
  </si>
  <si>
    <t>MODULES ADDED BY HMS ARCHITECT — Trauma Center + Orthopedic Ecosystem + OPD/IP Gaps</t>
  </si>
  <si>
    <t>Justification</t>
  </si>
  <si>
    <t>Est. Cost (₹ L)</t>
  </si>
  <si>
    <t>START Triage, ISS/RTS/TRISS Scoring, GCS, Rapid Assessment, Color-Code Priority</t>
  </si>
  <si>
    <t>No triage module in original RFQ — critical for trauma center accreditation and golden hour compliance</t>
  </si>
  <si>
    <t>AO/OTA Classification, Bone Mapping, Severity Grading, X-Ray Timeline, Treatment Plan Tracking</t>
  </si>
  <si>
    <t>Original RFQ had generic Orthopedics — fracture registry is standard for Level II/III trauma centers</t>
  </si>
  <si>
    <t>Serial/Batch Registry, Vendor Link, Patient-Implant Traceability, Recall Alerts, Regulatory Compliance</t>
  </si>
  <si>
    <t>Missing from original — mandatory for orthopedic hospitals per CDSCO implant traceability guidelines</t>
  </si>
  <si>
    <t>Emergency OT Override, WHO Checklist, C-Arm Tracking, Intra-Op Implant Documentation</t>
  </si>
  <si>
    <t>Original OT module is general — trauma needs emergency override booking and C-Arm integration</t>
  </si>
  <si>
    <t>Application Log, Material Used, Removal Schedule, Follow-Up X-Ray, Complication Watch</t>
  </si>
  <si>
    <t>Not present in original — standard orthopedic outpatient workflow tracking</t>
  </si>
  <si>
    <t>Ventilator, Hourly Vitals, APACHE II, SOFA Score, Sedation, Multi-Organ Dashboard</t>
  </si>
  <si>
    <t>Original had generic ICU — trauma ICU needs injury-specific scoring and multi-organ monitoring</t>
  </si>
  <si>
    <t>Multi-Specialty View, Surgical Priority Queue, Blood Requirement, Team Assignment</t>
  </si>
  <si>
    <t>Missing — polytrauma patients require coordinated multi-specialty surgical scheduling</t>
  </si>
  <si>
    <t>MLC Register, Police Intimation, Body Map, Wound Photography, Chain of Custody</t>
  </si>
  <si>
    <t>Partially covered in Emergency module — needs dedicated MLC workflow for trauma centers</t>
  </si>
  <si>
    <t>108/112 Link, GPS, Pre-Hospital Vitals Relay, ETA Display, ER Pre-Alert</t>
  </si>
  <si>
    <t>Original ambulance module is fleet-focused — needs clinical pre-hospital data integration</t>
  </si>
  <si>
    <t>FIM/Barthel Scoring, Physio/OT/Speech Scheduling, Milestones, Return-to-Work Assessment</t>
  </si>
  <si>
    <t>Missing — trauma recovery pathway is critical for patient outcomes and insurance documentation</t>
  </si>
  <si>
    <t>Fracture Registry, Implant Log, Casting Track, X-Ray Comparison, Post-Op Follow-Up, Rehab Referral</t>
  </si>
  <si>
    <t>Not a separate module in original — orthopedic OPD needs dedicated workflows</t>
  </si>
  <si>
    <t>Pain Scoring (NRS/VAS), Block Log, Medication Titration, Multimodal Therapy</t>
  </si>
  <si>
    <t>Missing — essential for trauma/post-surgical pain management</t>
  </si>
  <si>
    <t>Wound Assessment (BWAT), Photo Log, Dressing Protocol, Healing Trajectory</t>
  </si>
  <si>
    <t>Missing — trauma wound management requires systematic tracking</t>
  </si>
  <si>
    <t>ICU / CCU Management (Enhanced)</t>
  </si>
  <si>
    <t>Ventilator, APACHE/SOFA, Sedation Scale, Multi-Organ Dashboard, Alert Cascade</t>
  </si>
  <si>
    <t>Original ICU module was basic — enhanced for trauma-grade critical care</t>
  </si>
  <si>
    <t>HAI Surveillance, Antibiogram, Culture Reports, Isolation Protocol, SSI Tracking</t>
  </si>
  <si>
    <t>Missing — post-surgical infection monitoring critical for trauma/ortho patients</t>
  </si>
  <si>
    <t>Checklist, Expiry Alerts, Usage Log, Replenishment, Code Blue Protocol</t>
  </si>
  <si>
    <t>Missing — emergency readiness requirement for trauma center certification</t>
  </si>
  <si>
    <t>Claim Submission, Tracking, Rejection Analysis, Resubmission, Settlement</t>
  </si>
  <si>
    <t>Not in original RFQ — critical for insurance revenue recovery in trauma cases</t>
  </si>
  <si>
    <t>Prior Auth Request, Document Upload, Status Tracking, Enhancement</t>
  </si>
  <si>
    <t>Missing — trauma cases often need emergency pre-auth workflows</t>
  </si>
  <si>
    <t>Missing — foundation for all billing and insurance operations</t>
  </si>
  <si>
    <t>TOTAL ADDED MODULES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</si>
</sst>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 &quot;#,##0.00"/>
  </numFmts>
  <fonts count="2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color rgb="FF333333"/>
      <name val="Calibri"/>
      <charset val="1"/>
    </font>
    <font>
      <b/>
      <sz val="10"/>
      <color rgb="FF1F4E79"/>
      <name val="Calibri"/>
      <charset val="1"/>
    </font>
    <font>
      <b/>
      <sz val="10"/>
      <color rgb="FF333333"/>
      <name val="Calibri"/>
      <charset val="1"/>
    </font>
    <font>
      <sz val="9"/>
      <color rgb="FF333333"/>
      <name val="Calibri"/>
      <charset val="1"/>
    </font>
    <font>
      <sz val="8.5"/>
      <color rgb="FF4A4A4A"/>
      <name val="Calibri"/>
      <charset val="1"/>
    </font>
    <font>
      <sz val="8.5"/>
      <color rgb="FFC0392B"/>
      <name val="Calibri"/>
      <charset val="1"/>
    </font>
    <font>
      <sz val="10"/>
      <color rgb="FF000000"/>
      <name val="Arial"/>
      <charset val="1"/>
    </font>
    <font>
      <b/>
      <sz val="10"/>
      <color rgb="FFFFFFFF"/>
      <name val="Calibri"/>
      <charset val="1"/>
    </font>
    <font>
      <b/>
      <sz val="14"/>
      <color rgb="FF1A3C5E"/>
      <name val="Calibri"/>
      <charset val="1"/>
    </font>
    <font>
      <i/>
      <sz val="9"/>
      <color rgb="FF666666"/>
      <name val="Calibri"/>
      <charset val="1"/>
    </font>
    <font>
      <b/>
      <sz val="10"/>
      <color rgb="FF1A3C5E"/>
      <name val="Calibri"/>
      <charset val="1"/>
    </font>
    <font>
      <sz val="8.5"/>
      <color rgb="FF555555"/>
      <name val="Calibri"/>
      <charset val="1"/>
    </font>
    <font>
      <b/>
      <sz val="9"/>
      <color rgb="FF1B5E20"/>
      <name val="Calibri"/>
      <charset val="1"/>
    </font>
    <font>
      <b/>
      <sz val="10"/>
      <color rgb="FF1B5E20"/>
      <name val="Calibri"/>
      <charset val="1"/>
    </font>
    <font>
      <sz val="10"/>
      <color rgb="FF0D47A1"/>
      <name val="Calibri"/>
      <charset val="1"/>
    </font>
    <font>
      <b/>
      <sz val="9"/>
      <color rgb="FFE65100"/>
      <name val="Calibri"/>
      <charset val="1"/>
    </font>
    <font>
      <b/>
      <sz val="11"/>
      <color rgb="FF1A3C5E"/>
      <name val="Calibri"/>
      <charset val="1"/>
    </font>
    <font>
      <b/>
      <sz val="10"/>
      <color rgb="FFE65100"/>
      <name val="Calibri"/>
      <charset val="1"/>
    </font>
    <font>
      <b/>
      <sz val="9"/>
      <color rgb="FF1A3C5E"/>
      <name val="Calibri"/>
      <charset val="1"/>
    </font>
    <font>
      <b/>
      <sz val="12"/>
      <color rgb="FF1A3C5E"/>
      <name val="Calibri"/>
      <charset val="1"/>
    </font>
    <font>
      <i/>
      <sz val="9"/>
      <color rgb="FFFF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A3C5E"/>
      </patternFill>
    </fill>
    <fill>
      <patternFill patternType="solid">
        <fgColor rgb="FFC0392B"/>
        <bgColor rgb="FFC62828"/>
      </patternFill>
    </fill>
    <fill>
      <patternFill patternType="solid">
        <fgColor rgb="FFE8F4FD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E8F4FD"/>
      </patternFill>
    </fill>
    <fill>
      <patternFill patternType="solid">
        <fgColor rgb="FFF3E5F5"/>
        <bgColor rgb="FFEDE7F6"/>
      </patternFill>
    </fill>
    <fill>
      <patternFill patternType="solid">
        <fgColor rgb="FFE2EFDA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EAF6"/>
        <bgColor rgb="FFEDE7F6"/>
      </patternFill>
    </fill>
    <fill>
      <patternFill patternType="solid">
        <fgColor rgb="FFF5F5F5"/>
        <bgColor rgb="FFE8F4FD"/>
      </patternFill>
    </fill>
    <fill>
      <patternFill patternType="solid">
        <fgColor rgb="FF1A3C5E"/>
        <bgColor rgb="FF1F4E79"/>
      </patternFill>
    </fill>
    <fill>
      <patternFill patternType="solid">
        <fgColor rgb="FFE3F2FD"/>
        <bgColor rgb="FFE8F4FD"/>
      </patternFill>
    </fill>
    <fill>
      <patternFill patternType="solid">
        <fgColor rgb="FFFFEBEE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FEBEE"/>
      </patternFill>
    </fill>
    <fill>
      <patternFill patternType="solid">
        <fgColor rgb="FFEDE7F6"/>
        <bgColor rgb="FFE8EAF6"/>
      </patternFill>
    </fill>
    <fill>
      <patternFill patternType="solid">
        <fgColor rgb="FF37474F"/>
        <bgColor rgb="FF4A4A4A"/>
      </patternFill>
    </fill>
    <fill>
      <patternFill patternType="solid">
        <fgColor rgb="FFC8E6C9"/>
        <bgColor rgb="FFD6E4F0"/>
      </patternFill>
    </fill>
    <fill>
      <patternFill patternType="solid">
        <fgColor rgb="FFFFF9C4"/>
        <bgColor rgb="FFFFF8E1"/>
      </patternFill>
    </fill>
    <fill>
      <patternFill patternType="solid">
        <fgColor rgb="FFC62828"/>
        <bgColor rgb="FFC0392B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A3C5E"/>
      </top>
      <bottom style="medium">
        <color rgb="FF1A3C5E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center" vertical="center" wrapText="1"/>
    </xf>
    <xf numFmtId="4" fontId="15" fillId="13" borderId="2" xfId="0" applyNumberFormat="1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center" vertical="center" wrapText="1"/>
    </xf>
    <xf numFmtId="4" fontId="15" fillId="14" borderId="2" xfId="0" applyNumberFormat="1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4" fontId="15" fillId="5" borderId="2" xfId="0" applyNumberFormat="1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4" fontId="15" fillId="15" borderId="2" xfId="0" applyNumberFormat="1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left" vertical="center" wrapText="1"/>
    </xf>
    <xf numFmtId="0" fontId="13" fillId="16" borderId="2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left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17" fillId="17" borderId="2" xfId="0" applyFont="1" applyFill="1" applyBorder="1" applyAlignment="1">
      <alignment horizontal="center" vertical="center" wrapText="1"/>
    </xf>
    <xf numFmtId="3" fontId="1" fillId="12" borderId="3" xfId="0" applyNumberFormat="1" applyFont="1" applyFill="1" applyBorder="1" applyAlignment="1">
      <alignment horizontal="center" vertical="center"/>
    </xf>
    <xf numFmtId="164" fontId="1" fillId="12" borderId="3" xfId="0" applyNumberFormat="1" applyFont="1" applyFill="1" applyBorder="1" applyAlignment="1">
      <alignment horizontal="center" vertical="center"/>
    </xf>
    <xf numFmtId="0" fontId="0" fillId="12" borderId="3" xfId="0" applyFill="1" applyBorder="1"/>
    <xf numFmtId="0" fontId="9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/>
    </xf>
    <xf numFmtId="164" fontId="15" fillId="19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center" vertical="center"/>
    </xf>
    <xf numFmtId="164" fontId="19" fillId="20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64" fontId="1" fillId="12" borderId="2" xfId="0" applyNumberFormat="1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 wrapText="1"/>
    </xf>
    <xf numFmtId="164" fontId="1" fillId="21" borderId="2" xfId="0" applyNumberFormat="1" applyFont="1" applyFill="1" applyBorder="1" applyAlignment="1">
      <alignment horizontal="center" vertical="center"/>
    </xf>
    <xf numFmtId="0" fontId="23" fillId="0" borderId="0" xfId="0" applyFont="1"/>
    <xf numFmtId="4" fontId="15" fillId="13" borderId="2" xfId="0" applyNumberFormat="1" applyFont="1" applyFill="1" applyBorder="1" applyAlignment="1">
      <alignment horizontal="center" vertical="center" wrapText="1"/>
    </xf>
    <xf numFmtId="4" fontId="16" fillId="13" borderId="2" xfId="0" applyNumberFormat="1" applyFont="1" applyFill="1" applyBorder="1" applyAlignment="1">
      <alignment horizontal="center" vertical="center" wrapText="1"/>
    </xf>
    <xf numFmtId="4" fontId="15" fillId="14" borderId="2" xfId="0" applyNumberFormat="1" applyFont="1" applyFill="1" applyBorder="1" applyAlignment="1">
      <alignment horizontal="center" vertical="center" wrapText="1"/>
    </xf>
    <xf numFmtId="4" fontId="16" fillId="14" borderId="2" xfId="0" applyNumberFormat="1" applyFont="1" applyFill="1" applyBorder="1" applyAlignment="1">
      <alignment horizontal="center" vertical="center" wrapText="1"/>
    </xf>
    <xf numFmtId="4" fontId="15" fillId="5" borderId="2" xfId="0" applyNumberFormat="1" applyFont="1" applyFill="1" applyBorder="1" applyAlignment="1">
      <alignment horizontal="center" vertical="center" wrapText="1"/>
    </xf>
    <xf numFmtId="4" fontId="16" fillId="5" borderId="2" xfId="0" applyNumberFormat="1" applyFont="1" applyFill="1" applyBorder="1" applyAlignment="1">
      <alignment horizontal="center" vertical="center" wrapText="1"/>
    </xf>
    <xf numFmtId="4" fontId="15" fillId="6" borderId="2" xfId="0" applyNumberFormat="1" applyFont="1" applyFill="1" applyBorder="1" applyAlignment="1">
      <alignment horizontal="center" vertical="center" wrapText="1"/>
    </xf>
    <xf numFmtId="4" fontId="16" fillId="6" borderId="2" xfId="0" applyNumberFormat="1" applyFont="1" applyFill="1" applyBorder="1" applyAlignment="1">
      <alignment horizontal="center" vertical="center" wrapText="1"/>
    </xf>
    <xf numFmtId="4" fontId="15" fillId="7" borderId="2" xfId="0" applyNumberFormat="1" applyFont="1" applyFill="1" applyBorder="1" applyAlignment="1">
      <alignment horizontal="center" vertical="center" wrapText="1"/>
    </xf>
    <xf numFmtId="4" fontId="16" fillId="7" borderId="2" xfId="0" applyNumberFormat="1" applyFont="1" applyFill="1" applyBorder="1" applyAlignment="1">
      <alignment horizontal="center" vertical="center" wrapText="1"/>
    </xf>
    <xf numFmtId="4" fontId="15" fillId="15" borderId="2" xfId="0" applyNumberFormat="1" applyFont="1" applyFill="1" applyBorder="1" applyAlignment="1">
      <alignment horizontal="center" vertical="center" wrapText="1"/>
    </xf>
    <xf numFmtId="4" fontId="16" fillId="15" borderId="2" xfId="0" applyNumberFormat="1" applyFont="1" applyFill="1" applyBorder="1" applyAlignment="1">
      <alignment horizontal="center" vertical="center" wrapText="1"/>
    </xf>
    <xf numFmtId="4" fontId="15" fillId="16" borderId="2" xfId="0" applyNumberFormat="1" applyFont="1" applyFill="1" applyBorder="1" applyAlignment="1">
      <alignment horizontal="center" vertical="center" wrapText="1"/>
    </xf>
    <xf numFmtId="4" fontId="16" fillId="16" borderId="2" xfId="0" applyNumberFormat="1" applyFont="1" applyFill="1" applyBorder="1" applyAlignment="1">
      <alignment horizontal="center" vertical="center" wrapText="1"/>
    </xf>
    <xf numFmtId="4" fontId="15" fillId="17" borderId="2" xfId="0" applyNumberFormat="1" applyFont="1" applyFill="1" applyBorder="1" applyAlignment="1">
      <alignment horizontal="center" vertical="center" wrapText="1"/>
    </xf>
    <xf numFmtId="4" fontId="16" fillId="17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/>
    <xf numFmtId="0" fontId="1" fillId="12" borderId="3" xfId="0" applyFont="1" applyFill="1" applyBorder="1" applyAlignment="1">
      <alignment horizontal="right" vertical="center"/>
    </xf>
    <xf numFmtId="0" fontId="18" fillId="10" borderId="2" xfId="0" applyFont="1" applyFill="1" applyBorder="1" applyAlignment="1">
      <alignment horizontal="center"/>
    </xf>
    <xf numFmtId="0" fontId="20" fillId="0" borderId="0" xfId="0" applyFont="1"/>
    <xf numFmtId="0" fontId="1" fillId="12" borderId="2" xfId="0" applyFont="1" applyFill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1" fillId="21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0B0"/>
      <rgbColor rgb="FF555555"/>
      <rgbColor rgb="FFE8EAF6"/>
      <rgbColor rgb="FFC62828"/>
      <rgbColor rgb="FFFFF9C4"/>
      <rgbColor rgb="FFE3F2FD"/>
      <rgbColor rgb="FF660066"/>
      <rgbColor rgb="FFF5F5F5"/>
      <rgbColor rgb="FF0D47A1"/>
      <rgbColor rgb="FFD6E4F0"/>
      <rgbColor rgb="FF000080"/>
      <rgbColor rgb="FFFF00FF"/>
      <rgbColor rgb="FFE8F5E9"/>
      <rgbColor rgb="FF00FFFF"/>
      <rgbColor rgb="FF800080"/>
      <rgbColor rgb="FF800000"/>
      <rgbColor rgb="FF008080"/>
      <rgbColor rgb="FF0000FF"/>
      <rgbColor rgb="FF00CCFF"/>
      <rgbColor rgb="FFE8F4FD"/>
      <rgbColor rgb="FFE2EFDA"/>
      <rgbColor rgb="FFFFF8E1"/>
      <rgbColor rgb="FFC8E6C9"/>
      <rgbColor rgb="FFF3E5F5"/>
      <rgbColor rgb="FFEDE7F6"/>
      <rgbColor rgb="FFFCE4EC"/>
      <rgbColor rgb="FF3366FF"/>
      <rgbColor rgb="FF33CCCC"/>
      <rgbColor rgb="FF99CC00"/>
      <rgbColor rgb="FFFFEBEE"/>
      <rgbColor rgb="FFFF9900"/>
      <rgbColor rgb="FFE65100"/>
      <rgbColor rgb="FF666666"/>
      <rgbColor rgb="FF999999"/>
      <rgbColor rgb="FF1A3C5E"/>
      <rgbColor rgb="FF339966"/>
      <rgbColor rgb="FF003300"/>
      <rgbColor rgb="FF37474F"/>
      <rgbColor rgb="FFC0392B"/>
      <rgbColor rgb="FF4A4A4A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5"/>
  <sheetViews>
    <sheetView tabSelected="1" zoomScale="90" zoomScaleNormal="90" workbookViewId="0">
      <pane ySplit="1" topLeftCell="A143" activePane="bottomLeft" state="frozen"/>
      <selection pane="bottomLeft" activeCell="C170" sqref="C170"/>
    </sheetView>
  </sheetViews>
  <sheetFormatPr baseColWidth="10" defaultColWidth="8.6640625" defaultRowHeight="15" x14ac:dyDescent="0.2"/>
  <cols>
    <col min="1" max="1" width="6" customWidth="1"/>
    <col min="2" max="2" width="20" customWidth="1"/>
    <col min="3" max="3" width="35" customWidth="1"/>
    <col min="4" max="4" width="60" customWidth="1"/>
    <col min="5" max="5" width="90" customWidth="1"/>
    <col min="6" max="6" width="5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21" x14ac:dyDescent="0.2">
      <c r="A2" s="3">
        <v>1</v>
      </c>
      <c r="B2" s="4" t="s">
        <v>6</v>
      </c>
      <c r="C2" s="5" t="s">
        <v>7</v>
      </c>
      <c r="D2" s="6" t="s">
        <v>8</v>
      </c>
      <c r="E2" s="7" t="s">
        <v>9</v>
      </c>
      <c r="F2" s="8" t="s">
        <v>10</v>
      </c>
    </row>
    <row r="3" spans="1:6" ht="260" x14ac:dyDescent="0.2">
      <c r="A3" s="3">
        <v>2</v>
      </c>
      <c r="B3" s="4" t="s">
        <v>6</v>
      </c>
      <c r="C3" s="5" t="s">
        <v>11</v>
      </c>
      <c r="D3" s="6" t="s">
        <v>12</v>
      </c>
      <c r="E3" s="7" t="s">
        <v>13</v>
      </c>
      <c r="F3" s="8" t="s">
        <v>14</v>
      </c>
    </row>
    <row r="4" spans="1:6" ht="260" x14ac:dyDescent="0.2">
      <c r="A4" s="3">
        <v>3</v>
      </c>
      <c r="B4" s="4" t="s">
        <v>6</v>
      </c>
      <c r="C4" s="5" t="s">
        <v>15</v>
      </c>
      <c r="D4" s="6" t="s">
        <v>16</v>
      </c>
      <c r="E4" s="7" t="s">
        <v>17</v>
      </c>
      <c r="F4" s="8" t="s">
        <v>18</v>
      </c>
    </row>
    <row r="5" spans="1:6" ht="247" x14ac:dyDescent="0.2">
      <c r="A5" s="3">
        <v>4</v>
      </c>
      <c r="B5" s="4" t="s">
        <v>6</v>
      </c>
      <c r="C5" s="5" t="s">
        <v>19</v>
      </c>
      <c r="D5" s="6" t="s">
        <v>20</v>
      </c>
      <c r="E5" s="7" t="s">
        <v>21</v>
      </c>
      <c r="F5" s="8" t="s">
        <v>22</v>
      </c>
    </row>
    <row r="6" spans="1:6" ht="247" x14ac:dyDescent="0.2">
      <c r="A6" s="3">
        <v>5</v>
      </c>
      <c r="B6" s="4" t="s">
        <v>6</v>
      </c>
      <c r="C6" s="5" t="s">
        <v>23</v>
      </c>
      <c r="D6" s="6" t="s">
        <v>24</v>
      </c>
      <c r="E6" s="7" t="s">
        <v>25</v>
      </c>
      <c r="F6" s="8" t="s">
        <v>26</v>
      </c>
    </row>
    <row r="7" spans="1:6" ht="221" x14ac:dyDescent="0.2">
      <c r="A7" s="3">
        <v>6</v>
      </c>
      <c r="B7" s="4" t="s">
        <v>6</v>
      </c>
      <c r="C7" s="5" t="s">
        <v>27</v>
      </c>
      <c r="D7" s="6" t="s">
        <v>28</v>
      </c>
      <c r="E7" s="7" t="s">
        <v>29</v>
      </c>
      <c r="F7" s="8" t="s">
        <v>30</v>
      </c>
    </row>
    <row r="8" spans="1:6" ht="208" x14ac:dyDescent="0.2">
      <c r="A8" s="3">
        <v>7</v>
      </c>
      <c r="B8" s="4" t="s">
        <v>6</v>
      </c>
      <c r="C8" s="5" t="s">
        <v>31</v>
      </c>
      <c r="D8" s="6" t="s">
        <v>32</v>
      </c>
      <c r="E8" s="7" t="s">
        <v>33</v>
      </c>
      <c r="F8" s="8" t="s">
        <v>34</v>
      </c>
    </row>
    <row r="9" spans="1:6" ht="221" x14ac:dyDescent="0.2">
      <c r="A9" s="3">
        <v>8</v>
      </c>
      <c r="B9" s="4" t="s">
        <v>6</v>
      </c>
      <c r="C9" s="5" t="s">
        <v>35</v>
      </c>
      <c r="D9" s="6" t="s">
        <v>36</v>
      </c>
      <c r="E9" s="7" t="s">
        <v>37</v>
      </c>
      <c r="F9" s="8" t="s">
        <v>38</v>
      </c>
    </row>
    <row r="10" spans="1:6" ht="182" x14ac:dyDescent="0.2">
      <c r="A10" s="3">
        <v>9</v>
      </c>
      <c r="B10" s="4" t="s">
        <v>6</v>
      </c>
      <c r="C10" s="5" t="s">
        <v>39</v>
      </c>
      <c r="D10" s="6" t="s">
        <v>40</v>
      </c>
      <c r="E10" s="7" t="s">
        <v>41</v>
      </c>
      <c r="F10" s="8" t="s">
        <v>42</v>
      </c>
    </row>
    <row r="11" spans="1:6" ht="208" x14ac:dyDescent="0.2">
      <c r="A11" s="3">
        <v>10</v>
      </c>
      <c r="B11" s="4" t="s">
        <v>6</v>
      </c>
      <c r="C11" s="5" t="s">
        <v>43</v>
      </c>
      <c r="D11" s="6" t="s">
        <v>44</v>
      </c>
      <c r="E11" s="7" t="s">
        <v>45</v>
      </c>
      <c r="F11" s="8" t="s">
        <v>46</v>
      </c>
    </row>
    <row r="12" spans="1:6" ht="195" x14ac:dyDescent="0.2">
      <c r="A12" s="3">
        <v>11</v>
      </c>
      <c r="B12" s="4" t="s">
        <v>6</v>
      </c>
      <c r="C12" s="5" t="s">
        <v>47</v>
      </c>
      <c r="D12" s="6" t="s">
        <v>44</v>
      </c>
      <c r="E12" s="7" t="s">
        <v>48</v>
      </c>
      <c r="F12" s="8" t="s">
        <v>49</v>
      </c>
    </row>
    <row r="13" spans="1:6" ht="117" x14ac:dyDescent="0.2">
      <c r="A13" s="3">
        <v>12</v>
      </c>
      <c r="B13" s="4" t="s">
        <v>6</v>
      </c>
      <c r="C13" s="5" t="s">
        <v>50</v>
      </c>
      <c r="D13" s="6" t="s">
        <v>51</v>
      </c>
      <c r="E13" s="7" t="s">
        <v>52</v>
      </c>
      <c r="F13" s="8" t="s">
        <v>53</v>
      </c>
    </row>
    <row r="14" spans="1:6" ht="156" x14ac:dyDescent="0.2">
      <c r="A14" s="3">
        <v>13</v>
      </c>
      <c r="B14" s="4" t="s">
        <v>6</v>
      </c>
      <c r="C14" s="5" t="s">
        <v>54</v>
      </c>
      <c r="D14" s="6" t="s">
        <v>55</v>
      </c>
      <c r="E14" s="7" t="s">
        <v>56</v>
      </c>
      <c r="F14" s="8" t="s">
        <v>57</v>
      </c>
    </row>
    <row r="15" spans="1:6" ht="169" x14ac:dyDescent="0.2">
      <c r="A15" s="3">
        <v>14</v>
      </c>
      <c r="B15" s="4" t="s">
        <v>6</v>
      </c>
      <c r="C15" s="5" t="s">
        <v>58</v>
      </c>
      <c r="D15" s="6" t="s">
        <v>59</v>
      </c>
      <c r="E15" s="7" t="s">
        <v>60</v>
      </c>
      <c r="F15" s="8" t="s">
        <v>61</v>
      </c>
    </row>
    <row r="16" spans="1:6" ht="169" x14ac:dyDescent="0.2">
      <c r="A16" s="3">
        <v>15</v>
      </c>
      <c r="B16" s="4" t="s">
        <v>6</v>
      </c>
      <c r="C16" s="5" t="s">
        <v>62</v>
      </c>
      <c r="D16" s="6" t="s">
        <v>63</v>
      </c>
      <c r="E16" s="7" t="s">
        <v>64</v>
      </c>
      <c r="F16" s="8" t="s">
        <v>65</v>
      </c>
    </row>
    <row r="17" spans="1:6" ht="169" x14ac:dyDescent="0.2">
      <c r="A17" s="3">
        <v>16</v>
      </c>
      <c r="B17" s="4" t="s">
        <v>6</v>
      </c>
      <c r="C17" s="5" t="s">
        <v>66</v>
      </c>
      <c r="D17" s="6" t="s">
        <v>67</v>
      </c>
      <c r="E17" s="7" t="s">
        <v>68</v>
      </c>
      <c r="F17" s="8" t="s">
        <v>69</v>
      </c>
    </row>
    <row r="18" spans="1:6" ht="156" x14ac:dyDescent="0.2">
      <c r="A18" s="3">
        <v>17</v>
      </c>
      <c r="B18" s="4" t="s">
        <v>6</v>
      </c>
      <c r="C18" s="5" t="s">
        <v>70</v>
      </c>
      <c r="D18" s="6" t="s">
        <v>71</v>
      </c>
      <c r="E18" s="7" t="s">
        <v>72</v>
      </c>
      <c r="F18" s="8" t="s">
        <v>73</v>
      </c>
    </row>
    <row r="19" spans="1:6" ht="156" x14ac:dyDescent="0.2">
      <c r="A19" s="3">
        <v>18</v>
      </c>
      <c r="B19" s="4" t="s">
        <v>6</v>
      </c>
      <c r="C19" s="5" t="s">
        <v>74</v>
      </c>
      <c r="D19" s="6" t="s">
        <v>75</v>
      </c>
      <c r="E19" s="7" t="s">
        <v>76</v>
      </c>
      <c r="F19" s="8" t="s">
        <v>77</v>
      </c>
    </row>
    <row r="20" spans="1:6" ht="169" x14ac:dyDescent="0.2">
      <c r="A20" s="3">
        <v>19</v>
      </c>
      <c r="B20" s="4" t="s">
        <v>6</v>
      </c>
      <c r="C20" s="5" t="s">
        <v>78</v>
      </c>
      <c r="D20" s="6" t="s">
        <v>79</v>
      </c>
      <c r="E20" s="7" t="s">
        <v>80</v>
      </c>
      <c r="F20" s="8" t="s">
        <v>81</v>
      </c>
    </row>
    <row r="21" spans="1:6" ht="208" x14ac:dyDescent="0.2">
      <c r="A21" s="9">
        <v>20</v>
      </c>
      <c r="B21" s="10" t="s">
        <v>82</v>
      </c>
      <c r="C21" s="11" t="s">
        <v>83</v>
      </c>
      <c r="D21" s="12" t="s">
        <v>84</v>
      </c>
      <c r="E21" s="13" t="s">
        <v>85</v>
      </c>
      <c r="F21" s="14" t="s">
        <v>86</v>
      </c>
    </row>
    <row r="22" spans="1:6" ht="221" x14ac:dyDescent="0.2">
      <c r="A22" s="9">
        <v>21</v>
      </c>
      <c r="B22" s="10" t="s">
        <v>82</v>
      </c>
      <c r="C22" s="11" t="s">
        <v>87</v>
      </c>
      <c r="D22" s="12" t="s">
        <v>88</v>
      </c>
      <c r="E22" s="13" t="s">
        <v>89</v>
      </c>
      <c r="F22" s="14" t="s">
        <v>90</v>
      </c>
    </row>
    <row r="23" spans="1:6" ht="208" x14ac:dyDescent="0.2">
      <c r="A23" s="9">
        <v>22</v>
      </c>
      <c r="B23" s="10" t="s">
        <v>82</v>
      </c>
      <c r="C23" s="11" t="s">
        <v>91</v>
      </c>
      <c r="D23" s="12" t="s">
        <v>92</v>
      </c>
      <c r="E23" s="13" t="s">
        <v>93</v>
      </c>
      <c r="F23" s="14" t="s">
        <v>94</v>
      </c>
    </row>
    <row r="24" spans="1:6" ht="156" x14ac:dyDescent="0.2">
      <c r="A24" s="9">
        <v>23</v>
      </c>
      <c r="B24" s="10" t="s">
        <v>82</v>
      </c>
      <c r="C24" s="11" t="s">
        <v>95</v>
      </c>
      <c r="D24" s="12" t="s">
        <v>96</v>
      </c>
      <c r="E24" s="13" t="s">
        <v>97</v>
      </c>
      <c r="F24" s="14" t="s">
        <v>98</v>
      </c>
    </row>
    <row r="25" spans="1:6" ht="182" x14ac:dyDescent="0.2">
      <c r="A25" s="9">
        <v>24</v>
      </c>
      <c r="B25" s="10" t="s">
        <v>82</v>
      </c>
      <c r="C25" s="11" t="s">
        <v>99</v>
      </c>
      <c r="D25" s="12" t="s">
        <v>100</v>
      </c>
      <c r="E25" s="13" t="s">
        <v>101</v>
      </c>
      <c r="F25" s="14" t="s">
        <v>102</v>
      </c>
    </row>
    <row r="26" spans="1:6" ht="208" x14ac:dyDescent="0.2">
      <c r="A26" s="9">
        <v>25</v>
      </c>
      <c r="B26" s="10" t="s">
        <v>82</v>
      </c>
      <c r="C26" s="11" t="s">
        <v>103</v>
      </c>
      <c r="D26" s="12" t="s">
        <v>104</v>
      </c>
      <c r="E26" s="13" t="s">
        <v>105</v>
      </c>
      <c r="F26" s="14" t="s">
        <v>106</v>
      </c>
    </row>
    <row r="27" spans="1:6" ht="195" x14ac:dyDescent="0.2">
      <c r="A27" s="9">
        <v>26</v>
      </c>
      <c r="B27" s="10" t="s">
        <v>82</v>
      </c>
      <c r="C27" s="11" t="s">
        <v>107</v>
      </c>
      <c r="D27" s="12" t="s">
        <v>108</v>
      </c>
      <c r="E27" s="13" t="s">
        <v>109</v>
      </c>
      <c r="F27" s="14" t="s">
        <v>110</v>
      </c>
    </row>
    <row r="28" spans="1:6" ht="169" x14ac:dyDescent="0.2">
      <c r="A28" s="9">
        <v>27</v>
      </c>
      <c r="B28" s="10" t="s">
        <v>82</v>
      </c>
      <c r="C28" s="11" t="s">
        <v>111</v>
      </c>
      <c r="D28" s="12" t="s">
        <v>112</v>
      </c>
      <c r="E28" s="13" t="s">
        <v>113</v>
      </c>
      <c r="F28" s="14" t="s">
        <v>114</v>
      </c>
    </row>
    <row r="29" spans="1:6" ht="156" x14ac:dyDescent="0.2">
      <c r="A29" s="9">
        <v>28</v>
      </c>
      <c r="B29" s="10" t="s">
        <v>82</v>
      </c>
      <c r="C29" s="11" t="s">
        <v>115</v>
      </c>
      <c r="D29" s="12" t="s">
        <v>116</v>
      </c>
      <c r="E29" s="13" t="s">
        <v>117</v>
      </c>
      <c r="F29" s="14" t="s">
        <v>118</v>
      </c>
    </row>
    <row r="30" spans="1:6" ht="156" x14ac:dyDescent="0.2">
      <c r="A30" s="9">
        <v>29</v>
      </c>
      <c r="B30" s="10" t="s">
        <v>82</v>
      </c>
      <c r="C30" s="11" t="s">
        <v>119</v>
      </c>
      <c r="D30" s="12" t="s">
        <v>120</v>
      </c>
      <c r="E30" s="13" t="s">
        <v>121</v>
      </c>
      <c r="F30" s="14" t="s">
        <v>122</v>
      </c>
    </row>
    <row r="31" spans="1:6" ht="182" x14ac:dyDescent="0.2">
      <c r="A31" s="15">
        <v>30</v>
      </c>
      <c r="B31" s="16" t="s">
        <v>123</v>
      </c>
      <c r="C31" s="17" t="s">
        <v>124</v>
      </c>
      <c r="D31" s="18" t="s">
        <v>125</v>
      </c>
      <c r="E31" s="19" t="s">
        <v>126</v>
      </c>
      <c r="F31" s="20" t="s">
        <v>127</v>
      </c>
    </row>
    <row r="32" spans="1:6" ht="208" x14ac:dyDescent="0.2">
      <c r="A32" s="15">
        <v>31</v>
      </c>
      <c r="B32" s="16" t="s">
        <v>123</v>
      </c>
      <c r="C32" s="17" t="s">
        <v>128</v>
      </c>
      <c r="D32" s="18" t="s">
        <v>129</v>
      </c>
      <c r="E32" s="19" t="s">
        <v>130</v>
      </c>
      <c r="F32" s="20" t="s">
        <v>131</v>
      </c>
    </row>
    <row r="33" spans="1:6" ht="195" x14ac:dyDescent="0.2">
      <c r="A33" s="15">
        <v>32</v>
      </c>
      <c r="B33" s="16" t="s">
        <v>123</v>
      </c>
      <c r="C33" s="17" t="s">
        <v>132</v>
      </c>
      <c r="D33" s="18" t="s">
        <v>133</v>
      </c>
      <c r="E33" s="19" t="s">
        <v>134</v>
      </c>
      <c r="F33" s="20" t="s">
        <v>135</v>
      </c>
    </row>
    <row r="34" spans="1:6" ht="195" x14ac:dyDescent="0.2">
      <c r="A34" s="15">
        <v>33</v>
      </c>
      <c r="B34" s="16" t="s">
        <v>123</v>
      </c>
      <c r="C34" s="17" t="s">
        <v>136</v>
      </c>
      <c r="D34" s="18" t="s">
        <v>137</v>
      </c>
      <c r="E34" s="19" t="s">
        <v>138</v>
      </c>
      <c r="F34" s="20" t="s">
        <v>139</v>
      </c>
    </row>
    <row r="35" spans="1:6" ht="208" x14ac:dyDescent="0.2">
      <c r="A35" s="15">
        <v>34</v>
      </c>
      <c r="B35" s="16" t="s">
        <v>123</v>
      </c>
      <c r="C35" s="17" t="s">
        <v>140</v>
      </c>
      <c r="D35" s="18" t="s">
        <v>141</v>
      </c>
      <c r="E35" s="19" t="s">
        <v>142</v>
      </c>
      <c r="F35" s="20" t="s">
        <v>143</v>
      </c>
    </row>
    <row r="36" spans="1:6" ht="260" x14ac:dyDescent="0.2">
      <c r="A36" s="15">
        <v>35</v>
      </c>
      <c r="B36" s="16" t="s">
        <v>123</v>
      </c>
      <c r="C36" s="17" t="s">
        <v>144</v>
      </c>
      <c r="D36" s="18" t="s">
        <v>145</v>
      </c>
      <c r="E36" s="19" t="s">
        <v>146</v>
      </c>
      <c r="F36" s="20" t="s">
        <v>147</v>
      </c>
    </row>
    <row r="37" spans="1:6" ht="169" x14ac:dyDescent="0.2">
      <c r="A37" s="15">
        <v>36</v>
      </c>
      <c r="B37" s="16" t="s">
        <v>123</v>
      </c>
      <c r="C37" s="17" t="s">
        <v>148</v>
      </c>
      <c r="D37" s="18" t="s">
        <v>149</v>
      </c>
      <c r="E37" s="19" t="s">
        <v>150</v>
      </c>
      <c r="F37" s="20" t="s">
        <v>151</v>
      </c>
    </row>
    <row r="38" spans="1:6" ht="169" x14ac:dyDescent="0.2">
      <c r="A38" s="15">
        <v>37</v>
      </c>
      <c r="B38" s="16" t="s">
        <v>123</v>
      </c>
      <c r="C38" s="17" t="s">
        <v>152</v>
      </c>
      <c r="D38" s="18" t="s">
        <v>153</v>
      </c>
      <c r="E38" s="19" t="s">
        <v>154</v>
      </c>
      <c r="F38" s="20" t="s">
        <v>155</v>
      </c>
    </row>
    <row r="39" spans="1:6" ht="182" x14ac:dyDescent="0.2">
      <c r="A39" s="15">
        <v>38</v>
      </c>
      <c r="B39" s="16" t="s">
        <v>123</v>
      </c>
      <c r="C39" s="17" t="s">
        <v>156</v>
      </c>
      <c r="D39" s="18" t="s">
        <v>157</v>
      </c>
      <c r="E39" s="19" t="s">
        <v>158</v>
      </c>
      <c r="F39" s="20" t="s">
        <v>159</v>
      </c>
    </row>
    <row r="40" spans="1:6" ht="260" x14ac:dyDescent="0.2">
      <c r="A40" s="15">
        <v>39</v>
      </c>
      <c r="B40" s="16" t="s">
        <v>123</v>
      </c>
      <c r="C40" s="17" t="s">
        <v>160</v>
      </c>
      <c r="D40" s="18" t="s">
        <v>161</v>
      </c>
      <c r="E40" s="19" t="s">
        <v>162</v>
      </c>
      <c r="F40" s="20" t="s">
        <v>163</v>
      </c>
    </row>
    <row r="41" spans="1:6" ht="195" x14ac:dyDescent="0.2">
      <c r="A41" s="15">
        <v>40</v>
      </c>
      <c r="B41" s="16" t="s">
        <v>123</v>
      </c>
      <c r="C41" s="17" t="s">
        <v>164</v>
      </c>
      <c r="D41" s="18" t="s">
        <v>165</v>
      </c>
      <c r="E41" s="19" t="s">
        <v>166</v>
      </c>
      <c r="F41" s="20" t="s">
        <v>167</v>
      </c>
    </row>
    <row r="42" spans="1:6" ht="195" x14ac:dyDescent="0.2">
      <c r="A42" s="15">
        <v>41</v>
      </c>
      <c r="B42" s="16" t="s">
        <v>123</v>
      </c>
      <c r="C42" s="17" t="s">
        <v>168</v>
      </c>
      <c r="D42" s="18" t="s">
        <v>169</v>
      </c>
      <c r="E42" s="19" t="s">
        <v>170</v>
      </c>
      <c r="F42" s="20" t="s">
        <v>171</v>
      </c>
    </row>
    <row r="43" spans="1:6" ht="208" x14ac:dyDescent="0.2">
      <c r="A43" s="15">
        <v>42</v>
      </c>
      <c r="B43" s="16" t="s">
        <v>123</v>
      </c>
      <c r="C43" s="17" t="s">
        <v>172</v>
      </c>
      <c r="D43" s="18" t="s">
        <v>173</v>
      </c>
      <c r="E43" s="19" t="s">
        <v>174</v>
      </c>
      <c r="F43" s="20" t="s">
        <v>175</v>
      </c>
    </row>
    <row r="44" spans="1:6" ht="221" x14ac:dyDescent="0.2">
      <c r="A44" s="15">
        <v>43</v>
      </c>
      <c r="B44" s="16" t="s">
        <v>123</v>
      </c>
      <c r="C44" s="17" t="s">
        <v>176</v>
      </c>
      <c r="D44" s="18" t="s">
        <v>177</v>
      </c>
      <c r="E44" s="19" t="s">
        <v>178</v>
      </c>
      <c r="F44" s="20" t="s">
        <v>179</v>
      </c>
    </row>
    <row r="45" spans="1:6" ht="182" x14ac:dyDescent="0.2">
      <c r="A45" s="21">
        <v>44</v>
      </c>
      <c r="B45" s="22" t="s">
        <v>180</v>
      </c>
      <c r="C45" s="23" t="s">
        <v>181</v>
      </c>
      <c r="D45" s="24" t="s">
        <v>182</v>
      </c>
      <c r="E45" s="25" t="s">
        <v>183</v>
      </c>
      <c r="F45" s="26" t="s">
        <v>184</v>
      </c>
    </row>
    <row r="46" spans="1:6" ht="208" x14ac:dyDescent="0.2">
      <c r="A46" s="21">
        <v>45</v>
      </c>
      <c r="B46" s="22" t="s">
        <v>180</v>
      </c>
      <c r="C46" s="23" t="s">
        <v>185</v>
      </c>
      <c r="D46" s="24" t="s">
        <v>186</v>
      </c>
      <c r="E46" s="25" t="s">
        <v>187</v>
      </c>
      <c r="F46" s="26" t="s">
        <v>188</v>
      </c>
    </row>
    <row r="47" spans="1:6" ht="195" x14ac:dyDescent="0.2">
      <c r="A47" s="21">
        <v>46</v>
      </c>
      <c r="B47" s="22" t="s">
        <v>180</v>
      </c>
      <c r="C47" s="23" t="s">
        <v>189</v>
      </c>
      <c r="D47" s="24" t="s">
        <v>190</v>
      </c>
      <c r="E47" s="25" t="s">
        <v>191</v>
      </c>
      <c r="F47" s="26" t="s">
        <v>192</v>
      </c>
    </row>
    <row r="48" spans="1:6" ht="169" x14ac:dyDescent="0.2">
      <c r="A48" s="21">
        <v>47</v>
      </c>
      <c r="B48" s="22" t="s">
        <v>180</v>
      </c>
      <c r="C48" s="23" t="s">
        <v>193</v>
      </c>
      <c r="D48" s="24" t="s">
        <v>194</v>
      </c>
      <c r="E48" s="25" t="s">
        <v>195</v>
      </c>
      <c r="F48" s="26" t="s">
        <v>196</v>
      </c>
    </row>
    <row r="49" spans="1:6" ht="156" x14ac:dyDescent="0.2">
      <c r="A49" s="21">
        <v>48</v>
      </c>
      <c r="B49" s="22" t="s">
        <v>180</v>
      </c>
      <c r="C49" s="23" t="s">
        <v>197</v>
      </c>
      <c r="D49" s="24" t="s">
        <v>198</v>
      </c>
      <c r="E49" s="25" t="s">
        <v>199</v>
      </c>
      <c r="F49" s="26" t="s">
        <v>200</v>
      </c>
    </row>
    <row r="50" spans="1:6" ht="169" x14ac:dyDescent="0.2">
      <c r="A50" s="21">
        <v>49</v>
      </c>
      <c r="B50" s="22" t="s">
        <v>180</v>
      </c>
      <c r="C50" s="23" t="s">
        <v>201</v>
      </c>
      <c r="D50" s="24" t="s">
        <v>202</v>
      </c>
      <c r="E50" s="25" t="s">
        <v>203</v>
      </c>
      <c r="F50" s="26" t="s">
        <v>204</v>
      </c>
    </row>
    <row r="51" spans="1:6" ht="208" x14ac:dyDescent="0.2">
      <c r="A51" s="21">
        <v>50</v>
      </c>
      <c r="B51" s="22" t="s">
        <v>180</v>
      </c>
      <c r="C51" s="23" t="s">
        <v>205</v>
      </c>
      <c r="D51" s="24" t="s">
        <v>206</v>
      </c>
      <c r="E51" s="25" t="s">
        <v>207</v>
      </c>
      <c r="F51" s="26" t="s">
        <v>208</v>
      </c>
    </row>
    <row r="52" spans="1:6" ht="195" x14ac:dyDescent="0.2">
      <c r="A52" s="21">
        <v>51</v>
      </c>
      <c r="B52" s="22" t="s">
        <v>180</v>
      </c>
      <c r="C52" s="23" t="s">
        <v>209</v>
      </c>
      <c r="D52" s="24" t="s">
        <v>210</v>
      </c>
      <c r="E52" s="25" t="s">
        <v>211</v>
      </c>
      <c r="F52" s="26" t="s">
        <v>212</v>
      </c>
    </row>
    <row r="53" spans="1:6" ht="221" x14ac:dyDescent="0.2">
      <c r="A53" s="21">
        <v>52</v>
      </c>
      <c r="B53" s="22" t="s">
        <v>180</v>
      </c>
      <c r="C53" s="23" t="s">
        <v>213</v>
      </c>
      <c r="D53" s="24" t="s">
        <v>214</v>
      </c>
      <c r="E53" s="25" t="s">
        <v>215</v>
      </c>
      <c r="F53" s="26" t="s">
        <v>216</v>
      </c>
    </row>
    <row r="54" spans="1:6" ht="208" x14ac:dyDescent="0.2">
      <c r="A54" s="21">
        <v>53</v>
      </c>
      <c r="B54" s="22" t="s">
        <v>180</v>
      </c>
      <c r="C54" s="23" t="s">
        <v>217</v>
      </c>
      <c r="D54" s="24" t="s">
        <v>218</v>
      </c>
      <c r="E54" s="25" t="s">
        <v>219</v>
      </c>
      <c r="F54" s="26" t="s">
        <v>220</v>
      </c>
    </row>
    <row r="55" spans="1:6" ht="169" x14ac:dyDescent="0.2">
      <c r="A55" s="21">
        <v>54</v>
      </c>
      <c r="B55" s="22" t="s">
        <v>180</v>
      </c>
      <c r="C55" s="23" t="s">
        <v>221</v>
      </c>
      <c r="D55" s="24" t="s">
        <v>222</v>
      </c>
      <c r="E55" s="25" t="s">
        <v>223</v>
      </c>
      <c r="F55" s="26" t="s">
        <v>224</v>
      </c>
    </row>
    <row r="56" spans="1:6" ht="182" x14ac:dyDescent="0.2">
      <c r="A56" s="21">
        <v>55</v>
      </c>
      <c r="B56" s="22" t="s">
        <v>180</v>
      </c>
      <c r="C56" s="23" t="s">
        <v>225</v>
      </c>
      <c r="D56" s="24" t="s">
        <v>226</v>
      </c>
      <c r="E56" s="25" t="s">
        <v>227</v>
      </c>
      <c r="F56" s="26" t="s">
        <v>228</v>
      </c>
    </row>
    <row r="57" spans="1:6" ht="182" x14ac:dyDescent="0.2">
      <c r="A57" s="21">
        <v>56</v>
      </c>
      <c r="B57" s="22" t="s">
        <v>180</v>
      </c>
      <c r="C57" s="23" t="s">
        <v>229</v>
      </c>
      <c r="D57" s="24" t="s">
        <v>230</v>
      </c>
      <c r="E57" s="25" t="s">
        <v>231</v>
      </c>
      <c r="F57" s="26" t="s">
        <v>232</v>
      </c>
    </row>
    <row r="58" spans="1:6" ht="208" x14ac:dyDescent="0.2">
      <c r="A58" s="21">
        <v>57</v>
      </c>
      <c r="B58" s="22" t="s">
        <v>180</v>
      </c>
      <c r="C58" s="23" t="s">
        <v>233</v>
      </c>
      <c r="D58" s="24" t="s">
        <v>234</v>
      </c>
      <c r="E58" s="25" t="s">
        <v>235</v>
      </c>
      <c r="F58" s="26" t="s">
        <v>236</v>
      </c>
    </row>
    <row r="59" spans="1:6" ht="234" x14ac:dyDescent="0.2">
      <c r="A59" s="21">
        <v>58</v>
      </c>
      <c r="B59" s="22" t="s">
        <v>180</v>
      </c>
      <c r="C59" s="23" t="s">
        <v>237</v>
      </c>
      <c r="D59" s="24" t="s">
        <v>238</v>
      </c>
      <c r="E59" s="25" t="s">
        <v>239</v>
      </c>
      <c r="F59" s="26" t="s">
        <v>240</v>
      </c>
    </row>
    <row r="60" spans="1:6" ht="221" x14ac:dyDescent="0.2">
      <c r="A60" s="21">
        <v>59</v>
      </c>
      <c r="B60" s="22" t="s">
        <v>180</v>
      </c>
      <c r="C60" s="23" t="s">
        <v>241</v>
      </c>
      <c r="D60" s="24" t="s">
        <v>242</v>
      </c>
      <c r="E60" s="25" t="s">
        <v>243</v>
      </c>
      <c r="F60" s="26" t="s">
        <v>244</v>
      </c>
    </row>
    <row r="61" spans="1:6" ht="234" x14ac:dyDescent="0.2">
      <c r="A61" s="21">
        <v>60</v>
      </c>
      <c r="B61" s="22" t="s">
        <v>180</v>
      </c>
      <c r="C61" s="23" t="s">
        <v>245</v>
      </c>
      <c r="D61" s="24" t="s">
        <v>246</v>
      </c>
      <c r="E61" s="25" t="s">
        <v>247</v>
      </c>
      <c r="F61" s="26" t="s">
        <v>248</v>
      </c>
    </row>
    <row r="62" spans="1:6" ht="78" x14ac:dyDescent="0.2">
      <c r="A62" s="27">
        <v>61</v>
      </c>
      <c r="B62" s="28" t="s">
        <v>6</v>
      </c>
      <c r="C62" s="29" t="s">
        <v>249</v>
      </c>
      <c r="D62" s="30" t="s">
        <v>250</v>
      </c>
      <c r="E62" s="31" t="s">
        <v>251</v>
      </c>
      <c r="F62" s="32"/>
    </row>
    <row r="63" spans="1:6" ht="52" x14ac:dyDescent="0.2">
      <c r="A63" s="27">
        <v>62</v>
      </c>
      <c r="B63" s="28" t="s">
        <v>6</v>
      </c>
      <c r="C63" s="29" t="s">
        <v>252</v>
      </c>
      <c r="D63" s="30" t="s">
        <v>253</v>
      </c>
      <c r="E63" s="31" t="s">
        <v>254</v>
      </c>
      <c r="F63" s="32"/>
    </row>
    <row r="64" spans="1:6" ht="52" x14ac:dyDescent="0.2">
      <c r="A64" s="27">
        <v>63</v>
      </c>
      <c r="B64" s="28" t="s">
        <v>6</v>
      </c>
      <c r="C64" s="29" t="s">
        <v>255</v>
      </c>
      <c r="D64" s="30" t="s">
        <v>256</v>
      </c>
      <c r="E64" s="31" t="s">
        <v>257</v>
      </c>
      <c r="F64" s="32"/>
    </row>
    <row r="65" spans="1:6" ht="52" x14ac:dyDescent="0.2">
      <c r="A65" s="27">
        <v>64</v>
      </c>
      <c r="B65" s="28" t="s">
        <v>6</v>
      </c>
      <c r="C65" s="29" t="s">
        <v>258</v>
      </c>
      <c r="D65" s="30" t="s">
        <v>259</v>
      </c>
      <c r="E65" s="31" t="s">
        <v>260</v>
      </c>
      <c r="F65" s="32"/>
    </row>
    <row r="66" spans="1:6" ht="52" x14ac:dyDescent="0.2">
      <c r="A66" s="27">
        <v>65</v>
      </c>
      <c r="B66" s="28" t="s">
        <v>6</v>
      </c>
      <c r="C66" s="29" t="s">
        <v>261</v>
      </c>
      <c r="D66" s="30" t="s">
        <v>262</v>
      </c>
      <c r="E66" s="31" t="s">
        <v>263</v>
      </c>
      <c r="F66" s="32"/>
    </row>
    <row r="67" spans="1:6" ht="65" x14ac:dyDescent="0.2">
      <c r="A67" s="27">
        <v>66</v>
      </c>
      <c r="B67" s="28" t="s">
        <v>6</v>
      </c>
      <c r="C67" s="29" t="s">
        <v>264</v>
      </c>
      <c r="D67" s="30" t="s">
        <v>265</v>
      </c>
      <c r="E67" s="31" t="s">
        <v>266</v>
      </c>
      <c r="F67" s="32"/>
    </row>
    <row r="68" spans="1:6" ht="52" x14ac:dyDescent="0.2">
      <c r="A68" s="27">
        <v>67</v>
      </c>
      <c r="B68" s="28" t="s">
        <v>6</v>
      </c>
      <c r="C68" s="29" t="s">
        <v>267</v>
      </c>
      <c r="D68" s="30" t="s">
        <v>268</v>
      </c>
      <c r="E68" s="31" t="s">
        <v>269</v>
      </c>
      <c r="F68" s="32"/>
    </row>
    <row r="69" spans="1:6" ht="52" x14ac:dyDescent="0.2">
      <c r="A69" s="27">
        <v>68</v>
      </c>
      <c r="B69" s="28" t="s">
        <v>6</v>
      </c>
      <c r="C69" s="29" t="s">
        <v>270</v>
      </c>
      <c r="D69" s="30" t="s">
        <v>271</v>
      </c>
      <c r="E69" s="31" t="s">
        <v>272</v>
      </c>
      <c r="F69" s="32"/>
    </row>
    <row r="70" spans="1:6" ht="65" x14ac:dyDescent="0.2">
      <c r="A70" s="27">
        <v>69</v>
      </c>
      <c r="B70" s="28" t="s">
        <v>6</v>
      </c>
      <c r="C70" s="29" t="s">
        <v>273</v>
      </c>
      <c r="D70" s="30" t="s">
        <v>274</v>
      </c>
      <c r="E70" s="31" t="s">
        <v>275</v>
      </c>
      <c r="F70" s="32"/>
    </row>
    <row r="71" spans="1:6" ht="52" x14ac:dyDescent="0.2">
      <c r="A71" s="27">
        <v>70</v>
      </c>
      <c r="B71" s="28" t="s">
        <v>6</v>
      </c>
      <c r="C71" s="29" t="s">
        <v>276</v>
      </c>
      <c r="D71" s="30" t="s">
        <v>277</v>
      </c>
      <c r="E71" s="31" t="s">
        <v>278</v>
      </c>
      <c r="F71" s="32"/>
    </row>
    <row r="72" spans="1:6" ht="52" x14ac:dyDescent="0.2">
      <c r="A72" s="27">
        <v>71</v>
      </c>
      <c r="B72" s="28" t="s">
        <v>6</v>
      </c>
      <c r="C72" s="29" t="s">
        <v>279</v>
      </c>
      <c r="D72" s="30" t="s">
        <v>280</v>
      </c>
      <c r="E72" s="31" t="s">
        <v>281</v>
      </c>
      <c r="F72" s="32"/>
    </row>
    <row r="73" spans="1:6" ht="39" x14ac:dyDescent="0.2">
      <c r="A73" s="27">
        <v>72</v>
      </c>
      <c r="B73" s="28" t="s">
        <v>6</v>
      </c>
      <c r="C73" s="29" t="s">
        <v>282</v>
      </c>
      <c r="D73" s="30" t="s">
        <v>283</v>
      </c>
      <c r="E73" s="31" t="s">
        <v>284</v>
      </c>
      <c r="F73" s="32"/>
    </row>
    <row r="74" spans="1:6" ht="52" x14ac:dyDescent="0.2">
      <c r="A74" s="27">
        <v>73</v>
      </c>
      <c r="B74" s="28" t="s">
        <v>6</v>
      </c>
      <c r="C74" s="29" t="s">
        <v>285</v>
      </c>
      <c r="D74" s="30" t="s">
        <v>286</v>
      </c>
      <c r="E74" s="31" t="s">
        <v>287</v>
      </c>
      <c r="F74" s="32"/>
    </row>
    <row r="75" spans="1:6" ht="52" x14ac:dyDescent="0.2">
      <c r="A75" s="27">
        <v>74</v>
      </c>
      <c r="B75" s="28" t="s">
        <v>6</v>
      </c>
      <c r="C75" s="29" t="s">
        <v>288</v>
      </c>
      <c r="D75" s="30" t="s">
        <v>289</v>
      </c>
      <c r="E75" s="31" t="s">
        <v>290</v>
      </c>
      <c r="F75" s="32"/>
    </row>
    <row r="76" spans="1:6" ht="52" x14ac:dyDescent="0.2">
      <c r="A76" s="27">
        <v>75</v>
      </c>
      <c r="B76" s="28" t="s">
        <v>6</v>
      </c>
      <c r="C76" s="29" t="s">
        <v>291</v>
      </c>
      <c r="D76" s="30" t="s">
        <v>292</v>
      </c>
      <c r="E76" s="31" t="s">
        <v>293</v>
      </c>
      <c r="F76" s="32"/>
    </row>
    <row r="77" spans="1:6" ht="52" x14ac:dyDescent="0.2">
      <c r="A77" s="27">
        <v>76</v>
      </c>
      <c r="B77" s="28" t="s">
        <v>6</v>
      </c>
      <c r="C77" s="29" t="s">
        <v>294</v>
      </c>
      <c r="D77" s="30" t="s">
        <v>295</v>
      </c>
      <c r="E77" s="31" t="s">
        <v>296</v>
      </c>
      <c r="F77" s="32"/>
    </row>
    <row r="78" spans="1:6" ht="52" x14ac:dyDescent="0.2">
      <c r="A78" s="27">
        <v>77</v>
      </c>
      <c r="B78" s="28" t="s">
        <v>6</v>
      </c>
      <c r="C78" s="29" t="s">
        <v>297</v>
      </c>
      <c r="D78" s="30" t="s">
        <v>298</v>
      </c>
      <c r="E78" s="31" t="s">
        <v>299</v>
      </c>
      <c r="F78" s="32"/>
    </row>
    <row r="79" spans="1:6" ht="52" x14ac:dyDescent="0.2">
      <c r="A79" s="27">
        <v>78</v>
      </c>
      <c r="B79" s="28" t="s">
        <v>6</v>
      </c>
      <c r="C79" s="29" t="s">
        <v>300</v>
      </c>
      <c r="D79" s="30" t="s">
        <v>301</v>
      </c>
      <c r="E79" s="31" t="s">
        <v>302</v>
      </c>
      <c r="F79" s="32"/>
    </row>
    <row r="80" spans="1:6" ht="39" x14ac:dyDescent="0.2">
      <c r="A80" s="27">
        <v>79</v>
      </c>
      <c r="B80" s="28" t="s">
        <v>6</v>
      </c>
      <c r="C80" s="29" t="s">
        <v>303</v>
      </c>
      <c r="D80" s="30" t="s">
        <v>304</v>
      </c>
      <c r="E80" s="31" t="s">
        <v>305</v>
      </c>
      <c r="F80" s="32"/>
    </row>
    <row r="81" spans="1:6" ht="52" x14ac:dyDescent="0.2">
      <c r="A81" s="27">
        <v>80</v>
      </c>
      <c r="B81" s="28" t="s">
        <v>82</v>
      </c>
      <c r="C81" s="29" t="s">
        <v>306</v>
      </c>
      <c r="D81" s="30" t="s">
        <v>307</v>
      </c>
      <c r="E81" s="31" t="s">
        <v>308</v>
      </c>
      <c r="F81" s="32"/>
    </row>
    <row r="82" spans="1:6" ht="52" x14ac:dyDescent="0.2">
      <c r="A82" s="27">
        <v>81</v>
      </c>
      <c r="B82" s="28" t="s">
        <v>82</v>
      </c>
      <c r="C82" s="29" t="s">
        <v>309</v>
      </c>
      <c r="D82" s="30" t="s">
        <v>310</v>
      </c>
      <c r="E82" s="31" t="s">
        <v>311</v>
      </c>
      <c r="F82" s="32"/>
    </row>
    <row r="83" spans="1:6" ht="39" x14ac:dyDescent="0.2">
      <c r="A83" s="27">
        <v>82</v>
      </c>
      <c r="B83" s="28" t="s">
        <v>82</v>
      </c>
      <c r="C83" s="29" t="s">
        <v>312</v>
      </c>
      <c r="D83" s="30" t="s">
        <v>313</v>
      </c>
      <c r="E83" s="31" t="s">
        <v>314</v>
      </c>
      <c r="F83" s="32"/>
    </row>
    <row r="84" spans="1:6" ht="52" x14ac:dyDescent="0.2">
      <c r="A84" s="27">
        <v>83</v>
      </c>
      <c r="B84" s="28" t="s">
        <v>82</v>
      </c>
      <c r="C84" s="29" t="s">
        <v>315</v>
      </c>
      <c r="D84" s="30" t="s">
        <v>316</v>
      </c>
      <c r="E84" s="31" t="s">
        <v>317</v>
      </c>
      <c r="F84" s="32"/>
    </row>
    <row r="85" spans="1:6" ht="52" x14ac:dyDescent="0.2">
      <c r="A85" s="27">
        <v>84</v>
      </c>
      <c r="B85" s="28" t="s">
        <v>82</v>
      </c>
      <c r="C85" s="29" t="s">
        <v>318</v>
      </c>
      <c r="D85" s="30" t="s">
        <v>319</v>
      </c>
      <c r="E85" s="31" t="s">
        <v>320</v>
      </c>
      <c r="F85" s="32"/>
    </row>
    <row r="86" spans="1:6" ht="52" x14ac:dyDescent="0.2">
      <c r="A86" s="27">
        <v>85</v>
      </c>
      <c r="B86" s="28" t="s">
        <v>82</v>
      </c>
      <c r="C86" s="29" t="s">
        <v>321</v>
      </c>
      <c r="D86" s="30" t="s">
        <v>322</v>
      </c>
      <c r="E86" s="31" t="s">
        <v>323</v>
      </c>
      <c r="F86" s="32"/>
    </row>
    <row r="87" spans="1:6" ht="52" x14ac:dyDescent="0.2">
      <c r="A87" s="27">
        <v>86</v>
      </c>
      <c r="B87" s="28" t="s">
        <v>82</v>
      </c>
      <c r="C87" s="29" t="s">
        <v>324</v>
      </c>
      <c r="D87" s="30" t="s">
        <v>325</v>
      </c>
      <c r="E87" s="31" t="s">
        <v>326</v>
      </c>
      <c r="F87" s="32"/>
    </row>
    <row r="88" spans="1:6" ht="39" x14ac:dyDescent="0.2">
      <c r="A88" s="27">
        <v>87</v>
      </c>
      <c r="B88" s="28" t="s">
        <v>82</v>
      </c>
      <c r="C88" s="29" t="s">
        <v>327</v>
      </c>
      <c r="D88" s="30" t="s">
        <v>328</v>
      </c>
      <c r="E88" s="31" t="s">
        <v>329</v>
      </c>
      <c r="F88" s="32"/>
    </row>
    <row r="89" spans="1:6" ht="52" x14ac:dyDescent="0.2">
      <c r="A89" s="27">
        <v>88</v>
      </c>
      <c r="B89" s="28" t="s">
        <v>82</v>
      </c>
      <c r="C89" s="29" t="s">
        <v>330</v>
      </c>
      <c r="D89" s="30" t="s">
        <v>331</v>
      </c>
      <c r="E89" s="31" t="s">
        <v>332</v>
      </c>
      <c r="F89" s="32"/>
    </row>
    <row r="90" spans="1:6" ht="52" x14ac:dyDescent="0.2">
      <c r="A90" s="27">
        <v>89</v>
      </c>
      <c r="B90" s="28" t="s">
        <v>82</v>
      </c>
      <c r="C90" s="29" t="s">
        <v>333</v>
      </c>
      <c r="D90" s="30" t="s">
        <v>334</v>
      </c>
      <c r="E90" s="31" t="s">
        <v>335</v>
      </c>
      <c r="F90" s="32"/>
    </row>
    <row r="91" spans="1:6" ht="52" x14ac:dyDescent="0.2">
      <c r="A91" s="27">
        <v>90</v>
      </c>
      <c r="B91" s="28" t="s">
        <v>82</v>
      </c>
      <c r="C91" s="29" t="s">
        <v>336</v>
      </c>
      <c r="D91" s="30" t="s">
        <v>337</v>
      </c>
      <c r="E91" s="31" t="s">
        <v>338</v>
      </c>
      <c r="F91" s="32"/>
    </row>
    <row r="92" spans="1:6" ht="52" x14ac:dyDescent="0.2">
      <c r="A92" s="27">
        <v>91</v>
      </c>
      <c r="B92" s="28" t="s">
        <v>82</v>
      </c>
      <c r="C92" s="29" t="s">
        <v>339</v>
      </c>
      <c r="D92" s="30" t="s">
        <v>340</v>
      </c>
      <c r="E92" s="31" t="s">
        <v>341</v>
      </c>
      <c r="F92" s="32"/>
    </row>
    <row r="93" spans="1:6" ht="52" x14ac:dyDescent="0.2">
      <c r="A93" s="27">
        <v>92</v>
      </c>
      <c r="B93" s="28" t="s">
        <v>82</v>
      </c>
      <c r="C93" s="29" t="s">
        <v>342</v>
      </c>
      <c r="D93" s="30" t="s">
        <v>343</v>
      </c>
      <c r="E93" s="31" t="s">
        <v>344</v>
      </c>
      <c r="F93" s="32"/>
    </row>
    <row r="94" spans="1:6" ht="52" x14ac:dyDescent="0.2">
      <c r="A94" s="27">
        <v>93</v>
      </c>
      <c r="B94" s="28" t="s">
        <v>123</v>
      </c>
      <c r="C94" s="29" t="s">
        <v>345</v>
      </c>
      <c r="D94" s="30" t="s">
        <v>346</v>
      </c>
      <c r="E94" s="31" t="s">
        <v>347</v>
      </c>
      <c r="F94" s="32"/>
    </row>
    <row r="95" spans="1:6" ht="52" x14ac:dyDescent="0.2">
      <c r="A95" s="27">
        <v>94</v>
      </c>
      <c r="B95" s="28" t="s">
        <v>123</v>
      </c>
      <c r="C95" s="29" t="s">
        <v>348</v>
      </c>
      <c r="D95" s="30" t="s">
        <v>349</v>
      </c>
      <c r="E95" s="31" t="s">
        <v>350</v>
      </c>
      <c r="F95" s="32"/>
    </row>
    <row r="96" spans="1:6" ht="52" x14ac:dyDescent="0.2">
      <c r="A96" s="27">
        <v>95</v>
      </c>
      <c r="B96" s="28" t="s">
        <v>123</v>
      </c>
      <c r="C96" s="29" t="s">
        <v>351</v>
      </c>
      <c r="D96" s="30" t="s">
        <v>352</v>
      </c>
      <c r="E96" s="31" t="s">
        <v>353</v>
      </c>
      <c r="F96" s="32"/>
    </row>
    <row r="97" spans="1:6" ht="52" x14ac:dyDescent="0.2">
      <c r="A97" s="27">
        <v>96</v>
      </c>
      <c r="B97" s="28" t="s">
        <v>123</v>
      </c>
      <c r="C97" s="29" t="s">
        <v>354</v>
      </c>
      <c r="D97" s="30" t="s">
        <v>355</v>
      </c>
      <c r="E97" s="31" t="s">
        <v>356</v>
      </c>
      <c r="F97" s="32"/>
    </row>
    <row r="98" spans="1:6" ht="52" x14ac:dyDescent="0.2">
      <c r="A98" s="27">
        <v>97</v>
      </c>
      <c r="B98" s="28" t="s">
        <v>123</v>
      </c>
      <c r="C98" s="29" t="s">
        <v>357</v>
      </c>
      <c r="D98" s="30" t="s">
        <v>358</v>
      </c>
      <c r="E98" s="31" t="s">
        <v>359</v>
      </c>
      <c r="F98" s="32"/>
    </row>
    <row r="99" spans="1:6" ht="52" x14ac:dyDescent="0.2">
      <c r="A99" s="27">
        <v>98</v>
      </c>
      <c r="B99" s="28" t="s">
        <v>123</v>
      </c>
      <c r="C99" s="29" t="s">
        <v>360</v>
      </c>
      <c r="D99" s="30" t="s">
        <v>361</v>
      </c>
      <c r="E99" s="31" t="s">
        <v>362</v>
      </c>
      <c r="F99" s="32"/>
    </row>
    <row r="100" spans="1:6" ht="52" x14ac:dyDescent="0.2">
      <c r="A100" s="27">
        <v>99</v>
      </c>
      <c r="B100" s="28" t="s">
        <v>123</v>
      </c>
      <c r="C100" s="29" t="s">
        <v>363</v>
      </c>
      <c r="D100" s="30" t="s">
        <v>364</v>
      </c>
      <c r="E100" s="31" t="s">
        <v>365</v>
      </c>
      <c r="F100" s="32"/>
    </row>
    <row r="101" spans="1:6" ht="52" x14ac:dyDescent="0.2">
      <c r="A101" s="27">
        <v>100</v>
      </c>
      <c r="B101" s="28" t="s">
        <v>123</v>
      </c>
      <c r="C101" s="29" t="s">
        <v>366</v>
      </c>
      <c r="D101" s="30" t="s">
        <v>367</v>
      </c>
      <c r="E101" s="31" t="s">
        <v>368</v>
      </c>
      <c r="F101" s="32"/>
    </row>
    <row r="102" spans="1:6" ht="52" x14ac:dyDescent="0.2">
      <c r="A102" s="27">
        <v>101</v>
      </c>
      <c r="B102" s="28" t="s">
        <v>123</v>
      </c>
      <c r="C102" s="29" t="s">
        <v>369</v>
      </c>
      <c r="D102" s="30" t="s">
        <v>370</v>
      </c>
      <c r="E102" s="31" t="s">
        <v>371</v>
      </c>
      <c r="F102" s="32"/>
    </row>
    <row r="103" spans="1:6" ht="52" x14ac:dyDescent="0.2">
      <c r="A103" s="27">
        <v>102</v>
      </c>
      <c r="B103" s="28" t="s">
        <v>123</v>
      </c>
      <c r="C103" s="29" t="s">
        <v>372</v>
      </c>
      <c r="D103" s="30" t="s">
        <v>373</v>
      </c>
      <c r="E103" s="31" t="s">
        <v>374</v>
      </c>
      <c r="F103" s="32"/>
    </row>
    <row r="104" spans="1:6" ht="52" x14ac:dyDescent="0.2">
      <c r="A104" s="27">
        <v>103</v>
      </c>
      <c r="B104" s="28" t="s">
        <v>123</v>
      </c>
      <c r="C104" s="29" t="s">
        <v>375</v>
      </c>
      <c r="D104" s="30" t="s">
        <v>376</v>
      </c>
      <c r="E104" s="31" t="s">
        <v>377</v>
      </c>
      <c r="F104" s="32"/>
    </row>
    <row r="105" spans="1:6" ht="52" x14ac:dyDescent="0.2">
      <c r="A105" s="27">
        <v>104</v>
      </c>
      <c r="B105" s="28" t="s">
        <v>123</v>
      </c>
      <c r="C105" s="29" t="s">
        <v>378</v>
      </c>
      <c r="D105" s="30" t="s">
        <v>379</v>
      </c>
      <c r="E105" s="31" t="s">
        <v>380</v>
      </c>
      <c r="F105" s="32"/>
    </row>
    <row r="106" spans="1:6" ht="52" x14ac:dyDescent="0.2">
      <c r="A106" s="27">
        <v>105</v>
      </c>
      <c r="B106" s="28" t="s">
        <v>123</v>
      </c>
      <c r="C106" s="29" t="s">
        <v>381</v>
      </c>
      <c r="D106" s="30" t="s">
        <v>382</v>
      </c>
      <c r="E106" s="31" t="s">
        <v>383</v>
      </c>
      <c r="F106" s="32"/>
    </row>
    <row r="107" spans="1:6" ht="52" x14ac:dyDescent="0.2">
      <c r="A107" s="27">
        <v>106</v>
      </c>
      <c r="B107" s="28" t="s">
        <v>123</v>
      </c>
      <c r="C107" s="29" t="s">
        <v>384</v>
      </c>
      <c r="D107" s="30" t="s">
        <v>385</v>
      </c>
      <c r="E107" s="31" t="s">
        <v>386</v>
      </c>
      <c r="F107" s="32"/>
    </row>
    <row r="108" spans="1:6" ht="52" x14ac:dyDescent="0.2">
      <c r="A108" s="27">
        <v>107</v>
      </c>
      <c r="B108" s="28" t="s">
        <v>123</v>
      </c>
      <c r="C108" s="29" t="s">
        <v>387</v>
      </c>
      <c r="D108" s="30" t="s">
        <v>388</v>
      </c>
      <c r="E108" s="31" t="s">
        <v>389</v>
      </c>
      <c r="F108" s="32"/>
    </row>
    <row r="109" spans="1:6" ht="52" x14ac:dyDescent="0.2">
      <c r="A109" s="27">
        <v>108</v>
      </c>
      <c r="B109" s="28" t="s">
        <v>123</v>
      </c>
      <c r="C109" s="29" t="s">
        <v>390</v>
      </c>
      <c r="D109" s="30" t="s">
        <v>391</v>
      </c>
      <c r="E109" s="31" t="s">
        <v>392</v>
      </c>
      <c r="F109" s="32"/>
    </row>
    <row r="110" spans="1:6" ht="39" x14ac:dyDescent="0.2">
      <c r="A110" s="27">
        <v>109</v>
      </c>
      <c r="B110" s="28" t="s">
        <v>123</v>
      </c>
      <c r="C110" s="29" t="s">
        <v>393</v>
      </c>
      <c r="D110" s="30" t="s">
        <v>394</v>
      </c>
      <c r="E110" s="31" t="s">
        <v>395</v>
      </c>
      <c r="F110" s="32"/>
    </row>
    <row r="111" spans="1:6" ht="52" x14ac:dyDescent="0.2">
      <c r="A111" s="27">
        <v>110</v>
      </c>
      <c r="B111" s="28" t="s">
        <v>123</v>
      </c>
      <c r="C111" s="29" t="s">
        <v>396</v>
      </c>
      <c r="D111" s="30" t="s">
        <v>397</v>
      </c>
      <c r="E111" s="31" t="s">
        <v>398</v>
      </c>
      <c r="F111" s="32"/>
    </row>
    <row r="112" spans="1:6" ht="52" x14ac:dyDescent="0.2">
      <c r="A112" s="27">
        <v>111</v>
      </c>
      <c r="B112" s="28" t="s">
        <v>123</v>
      </c>
      <c r="C112" s="29" t="s">
        <v>399</v>
      </c>
      <c r="D112" s="30" t="s">
        <v>400</v>
      </c>
      <c r="E112" s="31" t="s">
        <v>401</v>
      </c>
      <c r="F112" s="32"/>
    </row>
    <row r="113" spans="1:6" ht="52" x14ac:dyDescent="0.2">
      <c r="A113" s="27">
        <v>112</v>
      </c>
      <c r="B113" s="28" t="s">
        <v>123</v>
      </c>
      <c r="C113" s="29" t="s">
        <v>402</v>
      </c>
      <c r="D113" s="30" t="s">
        <v>403</v>
      </c>
      <c r="E113" s="31" t="s">
        <v>404</v>
      </c>
      <c r="F113" s="32"/>
    </row>
    <row r="114" spans="1:6" ht="52" x14ac:dyDescent="0.2">
      <c r="A114" s="27">
        <v>113</v>
      </c>
      <c r="B114" s="28" t="s">
        <v>180</v>
      </c>
      <c r="C114" s="29" t="s">
        <v>405</v>
      </c>
      <c r="D114" s="30" t="s">
        <v>406</v>
      </c>
      <c r="E114" s="31" t="s">
        <v>407</v>
      </c>
      <c r="F114" s="32"/>
    </row>
    <row r="115" spans="1:6" ht="52" x14ac:dyDescent="0.2">
      <c r="A115" s="27">
        <v>114</v>
      </c>
      <c r="B115" s="28" t="s">
        <v>180</v>
      </c>
      <c r="C115" s="29" t="s">
        <v>408</v>
      </c>
      <c r="D115" s="30" t="s">
        <v>409</v>
      </c>
      <c r="E115" s="31" t="s">
        <v>410</v>
      </c>
      <c r="F115" s="32"/>
    </row>
    <row r="116" spans="1:6" ht="52" x14ac:dyDescent="0.2">
      <c r="A116" s="27">
        <v>115</v>
      </c>
      <c r="B116" s="28" t="s">
        <v>180</v>
      </c>
      <c r="C116" s="29" t="s">
        <v>411</v>
      </c>
      <c r="D116" s="30" t="s">
        <v>412</v>
      </c>
      <c r="E116" s="31" t="s">
        <v>413</v>
      </c>
      <c r="F116" s="32"/>
    </row>
    <row r="117" spans="1:6" ht="39" x14ac:dyDescent="0.2">
      <c r="A117" s="27">
        <v>116</v>
      </c>
      <c r="B117" s="28" t="s">
        <v>180</v>
      </c>
      <c r="C117" s="29" t="s">
        <v>414</v>
      </c>
      <c r="D117" s="30" t="s">
        <v>415</v>
      </c>
      <c r="E117" s="31" t="s">
        <v>416</v>
      </c>
      <c r="F117" s="32"/>
    </row>
    <row r="118" spans="1:6" ht="52" x14ac:dyDescent="0.2">
      <c r="A118" s="27">
        <v>117</v>
      </c>
      <c r="B118" s="28" t="s">
        <v>180</v>
      </c>
      <c r="C118" s="29" t="s">
        <v>417</v>
      </c>
      <c r="D118" s="30" t="s">
        <v>418</v>
      </c>
      <c r="E118" s="31" t="s">
        <v>419</v>
      </c>
      <c r="F118" s="32"/>
    </row>
    <row r="119" spans="1:6" ht="52" x14ac:dyDescent="0.2">
      <c r="A119" s="27">
        <v>118</v>
      </c>
      <c r="B119" s="28" t="s">
        <v>180</v>
      </c>
      <c r="C119" s="29" t="s">
        <v>420</v>
      </c>
      <c r="D119" s="30" t="s">
        <v>421</v>
      </c>
      <c r="E119" s="31" t="s">
        <v>422</v>
      </c>
      <c r="F119" s="32"/>
    </row>
    <row r="120" spans="1:6" ht="52" x14ac:dyDescent="0.2">
      <c r="A120" s="27">
        <v>119</v>
      </c>
      <c r="B120" s="28" t="s">
        <v>180</v>
      </c>
      <c r="C120" s="29" t="s">
        <v>423</v>
      </c>
      <c r="D120" s="30" t="s">
        <v>424</v>
      </c>
      <c r="E120" s="31" t="s">
        <v>425</v>
      </c>
      <c r="F120" s="32"/>
    </row>
    <row r="121" spans="1:6" ht="52" x14ac:dyDescent="0.2">
      <c r="A121" s="27">
        <v>120</v>
      </c>
      <c r="B121" s="28" t="s">
        <v>180</v>
      </c>
      <c r="C121" s="29" t="s">
        <v>426</v>
      </c>
      <c r="D121" s="30" t="s">
        <v>427</v>
      </c>
      <c r="E121" s="31" t="s">
        <v>428</v>
      </c>
      <c r="F121" s="32"/>
    </row>
    <row r="122" spans="1:6" ht="52" x14ac:dyDescent="0.2">
      <c r="A122" s="27">
        <v>121</v>
      </c>
      <c r="B122" s="28" t="s">
        <v>180</v>
      </c>
      <c r="C122" s="29" t="s">
        <v>429</v>
      </c>
      <c r="D122" s="30" t="s">
        <v>430</v>
      </c>
      <c r="E122" s="31" t="s">
        <v>431</v>
      </c>
      <c r="F122" s="32"/>
    </row>
    <row r="123" spans="1:6" ht="52" x14ac:dyDescent="0.2">
      <c r="A123" s="27">
        <v>122</v>
      </c>
      <c r="B123" s="28" t="s">
        <v>180</v>
      </c>
      <c r="C123" s="29" t="s">
        <v>432</v>
      </c>
      <c r="D123" s="30" t="s">
        <v>433</v>
      </c>
      <c r="E123" s="31" t="s">
        <v>434</v>
      </c>
      <c r="F123" s="32"/>
    </row>
    <row r="124" spans="1:6" ht="52" x14ac:dyDescent="0.2">
      <c r="A124" s="27">
        <v>123</v>
      </c>
      <c r="B124" s="28" t="s">
        <v>180</v>
      </c>
      <c r="C124" s="29" t="s">
        <v>435</v>
      </c>
      <c r="D124" s="30" t="s">
        <v>436</v>
      </c>
      <c r="E124" s="31" t="s">
        <v>437</v>
      </c>
      <c r="F124" s="32"/>
    </row>
    <row r="125" spans="1:6" ht="52" x14ac:dyDescent="0.2">
      <c r="A125" s="27">
        <v>124</v>
      </c>
      <c r="B125" s="28" t="s">
        <v>180</v>
      </c>
      <c r="C125" s="29" t="s">
        <v>438</v>
      </c>
      <c r="D125" s="30" t="s">
        <v>439</v>
      </c>
      <c r="E125" s="31" t="s">
        <v>440</v>
      </c>
      <c r="F125" s="32"/>
    </row>
    <row r="126" spans="1:6" ht="52" x14ac:dyDescent="0.2">
      <c r="A126" s="27">
        <v>125</v>
      </c>
      <c r="B126" s="28" t="s">
        <v>180</v>
      </c>
      <c r="C126" s="29" t="s">
        <v>441</v>
      </c>
      <c r="D126" s="30" t="s">
        <v>442</v>
      </c>
      <c r="E126" s="31" t="s">
        <v>443</v>
      </c>
      <c r="F126" s="32"/>
    </row>
    <row r="127" spans="1:6" ht="52" x14ac:dyDescent="0.2">
      <c r="A127" s="27">
        <v>126</v>
      </c>
      <c r="B127" s="28" t="s">
        <v>180</v>
      </c>
      <c r="C127" s="29" t="s">
        <v>444</v>
      </c>
      <c r="D127" s="30" t="s">
        <v>445</v>
      </c>
      <c r="E127" s="31" t="s">
        <v>446</v>
      </c>
      <c r="F127" s="32"/>
    </row>
    <row r="128" spans="1:6" ht="52" x14ac:dyDescent="0.2">
      <c r="A128" s="27">
        <v>127</v>
      </c>
      <c r="B128" s="28" t="s">
        <v>180</v>
      </c>
      <c r="C128" s="29" t="s">
        <v>447</v>
      </c>
      <c r="D128" s="30" t="s">
        <v>448</v>
      </c>
      <c r="E128" s="31" t="s">
        <v>449</v>
      </c>
      <c r="F128" s="32"/>
    </row>
    <row r="129" spans="1:6" ht="52" x14ac:dyDescent="0.2">
      <c r="A129" s="27">
        <v>128</v>
      </c>
      <c r="B129" s="28" t="s">
        <v>180</v>
      </c>
      <c r="C129" s="29" t="s">
        <v>450</v>
      </c>
      <c r="D129" s="30" t="s">
        <v>451</v>
      </c>
      <c r="E129" s="31" t="s">
        <v>452</v>
      </c>
      <c r="F129" s="32"/>
    </row>
    <row r="130" spans="1:6" ht="52" x14ac:dyDescent="0.2">
      <c r="A130" s="27">
        <v>129</v>
      </c>
      <c r="B130" s="28" t="s">
        <v>180</v>
      </c>
      <c r="C130" s="29" t="s">
        <v>453</v>
      </c>
      <c r="D130" s="30" t="s">
        <v>454</v>
      </c>
      <c r="E130" s="31" t="s">
        <v>455</v>
      </c>
      <c r="F130" s="32"/>
    </row>
    <row r="131" spans="1:6" ht="52" x14ac:dyDescent="0.2">
      <c r="A131" s="27">
        <v>130</v>
      </c>
      <c r="B131" s="28" t="s">
        <v>180</v>
      </c>
      <c r="C131" s="29" t="s">
        <v>456</v>
      </c>
      <c r="D131" s="30" t="s">
        <v>457</v>
      </c>
      <c r="E131" s="31" t="s">
        <v>458</v>
      </c>
      <c r="F131" s="32"/>
    </row>
    <row r="132" spans="1:6" ht="52" x14ac:dyDescent="0.2">
      <c r="A132" s="27">
        <v>131</v>
      </c>
      <c r="B132" s="28" t="s">
        <v>180</v>
      </c>
      <c r="C132" s="29" t="s">
        <v>459</v>
      </c>
      <c r="D132" s="30" t="s">
        <v>460</v>
      </c>
      <c r="E132" s="31" t="s">
        <v>461</v>
      </c>
      <c r="F132" s="32"/>
    </row>
    <row r="133" spans="1:6" ht="52" x14ac:dyDescent="0.2">
      <c r="A133" s="27">
        <v>132</v>
      </c>
      <c r="B133" s="28" t="s">
        <v>180</v>
      </c>
      <c r="C133" s="29" t="s">
        <v>462</v>
      </c>
      <c r="D133" s="30" t="s">
        <v>463</v>
      </c>
      <c r="E133" s="31" t="s">
        <v>464</v>
      </c>
      <c r="F133" s="32"/>
    </row>
    <row r="134" spans="1:6" ht="52" x14ac:dyDescent="0.2">
      <c r="A134" s="27">
        <v>133</v>
      </c>
      <c r="B134" s="28" t="s">
        <v>180</v>
      </c>
      <c r="C134" s="29" t="s">
        <v>465</v>
      </c>
      <c r="D134" s="30" t="s">
        <v>466</v>
      </c>
      <c r="E134" s="31" t="s">
        <v>467</v>
      </c>
      <c r="F134" s="32"/>
    </row>
    <row r="135" spans="1:6" ht="52" x14ac:dyDescent="0.2">
      <c r="A135" s="27">
        <v>134</v>
      </c>
      <c r="B135" s="28" t="s">
        <v>180</v>
      </c>
      <c r="C135" s="29" t="s">
        <v>468</v>
      </c>
      <c r="D135" s="30" t="s">
        <v>469</v>
      </c>
      <c r="E135" s="31" t="s">
        <v>470</v>
      </c>
      <c r="F135" s="32"/>
    </row>
    <row r="136" spans="1:6" ht="52" x14ac:dyDescent="0.2">
      <c r="A136" s="27">
        <v>135</v>
      </c>
      <c r="B136" s="28" t="s">
        <v>471</v>
      </c>
      <c r="C136" s="29" t="s">
        <v>472</v>
      </c>
      <c r="D136" s="30" t="s">
        <v>473</v>
      </c>
      <c r="E136" s="31" t="s">
        <v>474</v>
      </c>
      <c r="F136" s="32"/>
    </row>
    <row r="137" spans="1:6" ht="52" x14ac:dyDescent="0.2">
      <c r="A137" s="27">
        <v>136</v>
      </c>
      <c r="B137" s="28" t="s">
        <v>471</v>
      </c>
      <c r="C137" s="29" t="s">
        <v>475</v>
      </c>
      <c r="D137" s="30" t="s">
        <v>476</v>
      </c>
      <c r="E137" s="31" t="s">
        <v>477</v>
      </c>
      <c r="F137" s="32"/>
    </row>
    <row r="138" spans="1:6" ht="52" x14ac:dyDescent="0.2">
      <c r="A138" s="27">
        <v>137</v>
      </c>
      <c r="B138" s="28" t="s">
        <v>471</v>
      </c>
      <c r="C138" s="29" t="s">
        <v>478</v>
      </c>
      <c r="D138" s="30" t="s">
        <v>479</v>
      </c>
      <c r="E138" s="31" t="s">
        <v>480</v>
      </c>
      <c r="F138" s="32"/>
    </row>
    <row r="139" spans="1:6" ht="52" x14ac:dyDescent="0.2">
      <c r="A139" s="27">
        <v>138</v>
      </c>
      <c r="B139" s="28" t="s">
        <v>471</v>
      </c>
      <c r="C139" s="29" t="s">
        <v>481</v>
      </c>
      <c r="D139" s="30" t="s">
        <v>482</v>
      </c>
      <c r="E139" s="31" t="s">
        <v>483</v>
      </c>
      <c r="F139" s="32"/>
    </row>
    <row r="140" spans="1:6" ht="39" x14ac:dyDescent="0.2">
      <c r="A140" s="27">
        <v>139</v>
      </c>
      <c r="B140" s="28" t="s">
        <v>471</v>
      </c>
      <c r="C140" s="29" t="s">
        <v>484</v>
      </c>
      <c r="D140" s="30" t="s">
        <v>485</v>
      </c>
      <c r="E140" s="31" t="s">
        <v>486</v>
      </c>
      <c r="F140" s="32"/>
    </row>
    <row r="141" spans="1:6" ht="52" x14ac:dyDescent="0.2">
      <c r="A141" s="27">
        <v>140</v>
      </c>
      <c r="B141" s="28" t="s">
        <v>471</v>
      </c>
      <c r="C141" s="29" t="s">
        <v>487</v>
      </c>
      <c r="D141" s="30" t="s">
        <v>488</v>
      </c>
      <c r="E141" s="31" t="s">
        <v>489</v>
      </c>
      <c r="F141" s="32"/>
    </row>
    <row r="142" spans="1:6" ht="65" x14ac:dyDescent="0.2">
      <c r="A142" s="27">
        <v>141</v>
      </c>
      <c r="B142" s="28" t="s">
        <v>490</v>
      </c>
      <c r="C142" s="29" t="s">
        <v>491</v>
      </c>
      <c r="D142" s="30" t="s">
        <v>492</v>
      </c>
      <c r="E142" s="31" t="s">
        <v>493</v>
      </c>
      <c r="F142" s="32"/>
    </row>
    <row r="143" spans="1:6" ht="52" x14ac:dyDescent="0.2">
      <c r="A143" s="27">
        <v>142</v>
      </c>
      <c r="B143" s="28" t="s">
        <v>490</v>
      </c>
      <c r="C143" s="29" t="s">
        <v>494</v>
      </c>
      <c r="D143" s="30" t="s">
        <v>495</v>
      </c>
      <c r="E143" s="31" t="s">
        <v>496</v>
      </c>
      <c r="F143" s="32"/>
    </row>
    <row r="144" spans="1:6" ht="39" x14ac:dyDescent="0.2">
      <c r="A144" s="27">
        <v>143</v>
      </c>
      <c r="B144" s="28" t="s">
        <v>490</v>
      </c>
      <c r="C144" s="29" t="s">
        <v>497</v>
      </c>
      <c r="D144" s="30" t="s">
        <v>498</v>
      </c>
      <c r="E144" s="31" t="s">
        <v>499</v>
      </c>
      <c r="F144" s="32"/>
    </row>
    <row r="145" spans="1:6" ht="52" x14ac:dyDescent="0.2">
      <c r="A145" s="27">
        <v>144</v>
      </c>
      <c r="B145" s="28" t="s">
        <v>490</v>
      </c>
      <c r="C145" s="29" t="s">
        <v>500</v>
      </c>
      <c r="D145" s="30" t="s">
        <v>501</v>
      </c>
      <c r="E145" s="31" t="s">
        <v>502</v>
      </c>
      <c r="F145" s="32"/>
    </row>
    <row r="146" spans="1:6" ht="52" x14ac:dyDescent="0.2">
      <c r="A146" s="27">
        <v>145</v>
      </c>
      <c r="B146" s="28" t="s">
        <v>490</v>
      </c>
      <c r="C146" s="29" t="s">
        <v>503</v>
      </c>
      <c r="D146" s="30" t="s">
        <v>504</v>
      </c>
      <c r="E146" s="31" t="s">
        <v>505</v>
      </c>
      <c r="F146" s="32"/>
    </row>
    <row r="147" spans="1:6" ht="52" x14ac:dyDescent="0.2">
      <c r="A147" s="27">
        <v>146</v>
      </c>
      <c r="B147" s="28" t="s">
        <v>506</v>
      </c>
      <c r="C147" s="29" t="s">
        <v>507</v>
      </c>
      <c r="D147" s="30" t="s">
        <v>508</v>
      </c>
      <c r="E147" s="31" t="s">
        <v>509</v>
      </c>
      <c r="F147" s="32"/>
    </row>
    <row r="148" spans="1:6" ht="52" x14ac:dyDescent="0.2">
      <c r="A148" s="27">
        <v>147</v>
      </c>
      <c r="B148" s="28" t="s">
        <v>506</v>
      </c>
      <c r="C148" s="29" t="s">
        <v>510</v>
      </c>
      <c r="D148" s="30" t="s">
        <v>511</v>
      </c>
      <c r="E148" s="31" t="s">
        <v>512</v>
      </c>
      <c r="F148" s="32"/>
    </row>
    <row r="149" spans="1:6" ht="39" x14ac:dyDescent="0.2">
      <c r="A149" s="27">
        <v>148</v>
      </c>
      <c r="B149" s="28" t="s">
        <v>506</v>
      </c>
      <c r="C149" s="29" t="s">
        <v>513</v>
      </c>
      <c r="D149" s="30" t="s">
        <v>514</v>
      </c>
      <c r="E149" s="31" t="s">
        <v>515</v>
      </c>
      <c r="F149" s="32"/>
    </row>
    <row r="150" spans="1:6" ht="52" x14ac:dyDescent="0.2">
      <c r="A150" s="27">
        <v>149</v>
      </c>
      <c r="B150" s="28" t="s">
        <v>506</v>
      </c>
      <c r="C150" s="29" t="s">
        <v>516</v>
      </c>
      <c r="D150" s="30" t="s">
        <v>517</v>
      </c>
      <c r="E150" s="31" t="s">
        <v>518</v>
      </c>
      <c r="F150" s="32"/>
    </row>
    <row r="151" spans="1:6" ht="52" x14ac:dyDescent="0.2">
      <c r="A151" s="27">
        <v>150</v>
      </c>
      <c r="B151" s="28" t="s">
        <v>506</v>
      </c>
      <c r="C151" s="29" t="s">
        <v>519</v>
      </c>
      <c r="D151" s="30" t="s">
        <v>520</v>
      </c>
      <c r="E151" s="31" t="s">
        <v>521</v>
      </c>
      <c r="F151" s="32"/>
    </row>
    <row r="152" spans="1:6" ht="52" x14ac:dyDescent="0.2">
      <c r="A152" s="27">
        <v>151</v>
      </c>
      <c r="B152" s="28" t="s">
        <v>506</v>
      </c>
      <c r="C152" s="29" t="s">
        <v>522</v>
      </c>
      <c r="D152" s="30" t="s">
        <v>523</v>
      </c>
      <c r="E152" s="31" t="s">
        <v>524</v>
      </c>
      <c r="F152" s="32"/>
    </row>
    <row r="153" spans="1:6" x14ac:dyDescent="0.2">
      <c r="A153" s="33"/>
      <c r="B153" s="34"/>
      <c r="C153" s="35"/>
      <c r="D153" s="36"/>
      <c r="E153" s="37"/>
      <c r="F153" s="38"/>
    </row>
    <row r="154" spans="1:6" x14ac:dyDescent="0.2">
      <c r="A154" s="39"/>
      <c r="B154" s="39" t="s">
        <v>525</v>
      </c>
      <c r="C154" s="39"/>
      <c r="D154" s="39"/>
      <c r="E154" s="39"/>
      <c r="F154" s="39"/>
    </row>
    <row r="155" spans="1:6" x14ac:dyDescent="0.2">
      <c r="A155" s="33"/>
      <c r="B155" s="34" t="s">
        <v>526</v>
      </c>
      <c r="C155" s="35" t="s">
        <v>527</v>
      </c>
      <c r="D155" s="36"/>
      <c r="E155" s="37"/>
      <c r="F155" s="38"/>
    </row>
    <row r="156" spans="1:6" x14ac:dyDescent="0.2">
      <c r="A156" s="33"/>
      <c r="B156" s="34" t="s">
        <v>528</v>
      </c>
      <c r="C156" s="35" t="s">
        <v>529</v>
      </c>
      <c r="D156" s="36"/>
      <c r="E156" s="37"/>
      <c r="F156" s="38"/>
    </row>
    <row r="157" spans="1:6" x14ac:dyDescent="0.2">
      <c r="A157" s="33"/>
      <c r="B157" s="34" t="s">
        <v>530</v>
      </c>
      <c r="C157" s="35" t="s">
        <v>531</v>
      </c>
      <c r="D157" s="36"/>
      <c r="E157" s="37"/>
      <c r="F157" s="38"/>
    </row>
    <row r="158" spans="1:6" ht="30" x14ac:dyDescent="0.2">
      <c r="A158" s="33"/>
      <c r="B158" s="34" t="s">
        <v>532</v>
      </c>
      <c r="C158" s="35" t="s">
        <v>533</v>
      </c>
      <c r="D158" s="36"/>
      <c r="E158" s="37"/>
      <c r="F158" s="38"/>
    </row>
    <row r="159" spans="1:6" ht="30" x14ac:dyDescent="0.2">
      <c r="A159" s="33"/>
      <c r="B159" s="34" t="s">
        <v>534</v>
      </c>
      <c r="C159" s="35" t="s">
        <v>535</v>
      </c>
      <c r="D159" s="36"/>
      <c r="E159" s="37"/>
      <c r="F159" s="38"/>
    </row>
    <row r="160" spans="1:6" ht="30" x14ac:dyDescent="0.2">
      <c r="A160" s="33"/>
      <c r="B160" s="34" t="s">
        <v>536</v>
      </c>
      <c r="C160" s="35" t="s">
        <v>537</v>
      </c>
      <c r="D160" s="36"/>
      <c r="E160" s="37"/>
      <c r="F160" s="38"/>
    </row>
    <row r="161" spans="1:6" ht="30" x14ac:dyDescent="0.2">
      <c r="A161" s="33"/>
      <c r="B161" s="34" t="s">
        <v>538</v>
      </c>
      <c r="C161" s="35" t="s">
        <v>539</v>
      </c>
      <c r="D161" s="36"/>
      <c r="E161" s="37"/>
      <c r="F161" s="38"/>
    </row>
    <row r="162" spans="1:6" ht="30" x14ac:dyDescent="0.2">
      <c r="A162" s="33"/>
      <c r="B162" s="34" t="s">
        <v>540</v>
      </c>
      <c r="C162" s="35" t="s">
        <v>537</v>
      </c>
      <c r="D162" s="36"/>
      <c r="E162" s="37"/>
      <c r="F162" s="38"/>
    </row>
    <row r="163" spans="1:6" ht="30" x14ac:dyDescent="0.2">
      <c r="A163" s="33"/>
      <c r="B163" s="34" t="s">
        <v>541</v>
      </c>
      <c r="C163" s="35">
        <f>60+19+13+20+22+6+5+6</f>
        <v>151</v>
      </c>
      <c r="D163" s="36"/>
      <c r="E163" s="37"/>
      <c r="F163" s="38"/>
    </row>
    <row r="164" spans="1:6" x14ac:dyDescent="0.2">
      <c r="A164" s="33"/>
      <c r="B164" s="34"/>
      <c r="C164" s="35"/>
      <c r="D164" s="36"/>
      <c r="E164" s="37"/>
      <c r="F164" s="38"/>
    </row>
    <row r="165" spans="1:6" x14ac:dyDescent="0.2">
      <c r="A165" s="33"/>
      <c r="B165" s="34"/>
      <c r="C165" s="35"/>
      <c r="D165" s="36"/>
      <c r="E165" s="37"/>
      <c r="F165" s="38"/>
    </row>
    <row r="166" spans="1:6" x14ac:dyDescent="0.2">
      <c r="A166" s="33"/>
      <c r="B166" s="34"/>
      <c r="C166" s="35"/>
      <c r="D166" s="36"/>
      <c r="E166" s="37"/>
      <c r="F166" s="38"/>
    </row>
    <row r="167" spans="1:6" x14ac:dyDescent="0.2">
      <c r="A167" s="33"/>
      <c r="B167" s="34"/>
      <c r="C167" s="35"/>
      <c r="D167" s="36"/>
      <c r="E167" s="37"/>
      <c r="F167" s="38"/>
    </row>
    <row r="168" spans="1:6" x14ac:dyDescent="0.2">
      <c r="A168" s="33"/>
      <c r="B168" s="34"/>
      <c r="C168" s="35"/>
      <c r="D168" s="36"/>
      <c r="E168" s="37"/>
      <c r="F168" s="38"/>
    </row>
    <row r="169" spans="1:6" x14ac:dyDescent="0.2">
      <c r="A169" s="33"/>
      <c r="B169" s="34"/>
      <c r="C169" s="35"/>
      <c r="D169" s="36"/>
      <c r="E169" s="37"/>
      <c r="F169" s="38"/>
    </row>
    <row r="170" spans="1:6" x14ac:dyDescent="0.2">
      <c r="A170" s="33"/>
      <c r="B170" s="34"/>
      <c r="C170" s="35"/>
      <c r="D170" s="36"/>
      <c r="E170" s="37"/>
      <c r="F170" s="38"/>
    </row>
    <row r="171" spans="1:6" x14ac:dyDescent="0.2">
      <c r="A171" s="33"/>
      <c r="B171" s="34"/>
      <c r="C171" s="35"/>
      <c r="D171" s="36"/>
      <c r="E171" s="37"/>
      <c r="F171" s="38"/>
    </row>
    <row r="172" spans="1:6" x14ac:dyDescent="0.2">
      <c r="A172" s="33"/>
      <c r="B172" s="34"/>
      <c r="C172" s="35"/>
      <c r="D172" s="36"/>
      <c r="E172" s="37"/>
      <c r="F172" s="38"/>
    </row>
    <row r="173" spans="1:6" x14ac:dyDescent="0.2">
      <c r="A173" s="33"/>
      <c r="B173" s="34"/>
      <c r="C173" s="35"/>
      <c r="D173" s="36"/>
      <c r="E173" s="37"/>
      <c r="F173" s="38"/>
    </row>
    <row r="174" spans="1:6" x14ac:dyDescent="0.2">
      <c r="A174" s="33"/>
      <c r="B174" s="34"/>
      <c r="C174" s="35"/>
      <c r="D174" s="36"/>
      <c r="E174" s="37"/>
      <c r="F174" s="38"/>
    </row>
    <row r="175" spans="1:6" x14ac:dyDescent="0.2">
      <c r="A175" s="33"/>
      <c r="B175" s="34"/>
      <c r="C175" s="35"/>
      <c r="D175" s="36"/>
      <c r="E175" s="37"/>
      <c r="F175" s="38"/>
    </row>
    <row r="176" spans="1:6" x14ac:dyDescent="0.2">
      <c r="A176" s="33"/>
      <c r="B176" s="34"/>
      <c r="C176" s="35"/>
      <c r="D176" s="36"/>
      <c r="E176" s="37"/>
      <c r="F176" s="38"/>
    </row>
    <row r="177" spans="1:6" x14ac:dyDescent="0.2">
      <c r="A177" s="33"/>
      <c r="B177" s="34"/>
      <c r="C177" s="35"/>
      <c r="D177" s="36"/>
      <c r="E177" s="37"/>
      <c r="F177" s="38"/>
    </row>
    <row r="178" spans="1:6" x14ac:dyDescent="0.2">
      <c r="A178" s="33"/>
      <c r="B178" s="34"/>
      <c r="C178" s="35"/>
      <c r="D178" s="36"/>
      <c r="E178" s="37"/>
      <c r="F178" s="38"/>
    </row>
    <row r="179" spans="1:6" x14ac:dyDescent="0.2">
      <c r="A179" s="33"/>
      <c r="B179" s="34"/>
      <c r="C179" s="35"/>
      <c r="D179" s="36"/>
      <c r="E179" s="37"/>
      <c r="F179" s="38"/>
    </row>
    <row r="180" spans="1:6" x14ac:dyDescent="0.2">
      <c r="A180" s="33"/>
      <c r="B180" s="34"/>
      <c r="C180" s="35"/>
      <c r="D180" s="36"/>
      <c r="E180" s="37"/>
      <c r="F180" s="38"/>
    </row>
    <row r="181" spans="1:6" x14ac:dyDescent="0.2">
      <c r="A181" s="33"/>
      <c r="B181" s="34"/>
      <c r="C181" s="35"/>
      <c r="D181" s="36"/>
      <c r="E181" s="37"/>
      <c r="F181" s="38"/>
    </row>
    <row r="182" spans="1:6" x14ac:dyDescent="0.2">
      <c r="A182" s="33"/>
      <c r="B182" s="34"/>
      <c r="C182" s="35"/>
      <c r="D182" s="36"/>
      <c r="E182" s="37"/>
      <c r="F182" s="38"/>
    </row>
    <row r="183" spans="1:6" x14ac:dyDescent="0.2">
      <c r="A183" s="33"/>
      <c r="B183" s="34"/>
      <c r="C183" s="35"/>
      <c r="D183" s="36"/>
      <c r="E183" s="37"/>
      <c r="F183" s="38"/>
    </row>
    <row r="184" spans="1:6" x14ac:dyDescent="0.2">
      <c r="A184" s="33"/>
      <c r="B184" s="34"/>
      <c r="C184" s="35"/>
      <c r="D184" s="36"/>
      <c r="E184" s="37"/>
      <c r="F184" s="38"/>
    </row>
    <row r="185" spans="1:6" x14ac:dyDescent="0.2">
      <c r="A185" s="33"/>
      <c r="B185" s="34"/>
      <c r="C185" s="35"/>
      <c r="D185" s="36"/>
      <c r="E185" s="37"/>
      <c r="F185" s="38"/>
    </row>
    <row r="186" spans="1:6" x14ac:dyDescent="0.2">
      <c r="A186" s="33"/>
      <c r="B186" s="34"/>
      <c r="C186" s="35"/>
      <c r="D186" s="36"/>
      <c r="E186" s="37"/>
      <c r="F186" s="38"/>
    </row>
    <row r="187" spans="1:6" x14ac:dyDescent="0.2">
      <c r="A187" s="33"/>
      <c r="B187" s="34"/>
      <c r="C187" s="35"/>
      <c r="D187" s="36"/>
      <c r="E187" s="37"/>
      <c r="F187" s="38"/>
    </row>
    <row r="188" spans="1:6" x14ac:dyDescent="0.2">
      <c r="A188" s="33"/>
      <c r="B188" s="34"/>
      <c r="C188" s="35"/>
      <c r="D188" s="36"/>
      <c r="E188" s="37"/>
      <c r="F188" s="38"/>
    </row>
    <row r="189" spans="1:6" x14ac:dyDescent="0.2">
      <c r="A189" s="33"/>
      <c r="B189" s="34"/>
      <c r="C189" s="35"/>
      <c r="D189" s="36"/>
      <c r="E189" s="37"/>
      <c r="F189" s="38"/>
    </row>
    <row r="190" spans="1:6" x14ac:dyDescent="0.2">
      <c r="A190" s="33"/>
      <c r="B190" s="34"/>
      <c r="C190" s="35"/>
      <c r="D190" s="36"/>
      <c r="E190" s="37"/>
      <c r="F190" s="38"/>
    </row>
    <row r="191" spans="1:6" x14ac:dyDescent="0.2">
      <c r="A191" s="33"/>
      <c r="B191" s="34"/>
      <c r="C191" s="35"/>
      <c r="D191" s="36"/>
      <c r="E191" s="37"/>
      <c r="F191" s="38"/>
    </row>
    <row r="192" spans="1:6" x14ac:dyDescent="0.2">
      <c r="A192" s="33"/>
      <c r="B192" s="34"/>
      <c r="C192" s="35"/>
      <c r="D192" s="36"/>
      <c r="E192" s="37"/>
      <c r="F192" s="38"/>
    </row>
    <row r="193" spans="1:6" x14ac:dyDescent="0.2">
      <c r="A193" s="33"/>
      <c r="B193" s="34"/>
      <c r="C193" s="35"/>
      <c r="D193" s="36"/>
      <c r="E193" s="37"/>
      <c r="F193" s="38"/>
    </row>
    <row r="194" spans="1:6" x14ac:dyDescent="0.2">
      <c r="A194" s="33"/>
      <c r="B194" s="34"/>
      <c r="C194" s="35"/>
      <c r="D194" s="36"/>
      <c r="E194" s="37"/>
      <c r="F194" s="38"/>
    </row>
    <row r="195" spans="1:6" x14ac:dyDescent="0.2">
      <c r="A195" s="33"/>
      <c r="B195" s="34"/>
      <c r="C195" s="35"/>
      <c r="D195" s="36"/>
      <c r="E195" s="37"/>
      <c r="F195" s="38"/>
    </row>
    <row r="196" spans="1:6" x14ac:dyDescent="0.2">
      <c r="A196" s="33"/>
      <c r="B196" s="34"/>
      <c r="C196" s="35"/>
      <c r="D196" s="36"/>
      <c r="E196" s="37"/>
      <c r="F196" s="38"/>
    </row>
    <row r="197" spans="1:6" x14ac:dyDescent="0.2">
      <c r="A197" s="33"/>
      <c r="B197" s="34"/>
      <c r="C197" s="35"/>
      <c r="D197" s="36"/>
      <c r="E197" s="37"/>
      <c r="F197" s="38"/>
    </row>
    <row r="198" spans="1:6" x14ac:dyDescent="0.2">
      <c r="A198" s="33"/>
      <c r="B198" s="34"/>
      <c r="C198" s="35"/>
      <c r="D198" s="36"/>
      <c r="E198" s="37"/>
      <c r="F198" s="38"/>
    </row>
    <row r="199" spans="1:6" x14ac:dyDescent="0.2">
      <c r="A199" s="33"/>
      <c r="B199" s="34"/>
      <c r="C199" s="35"/>
      <c r="D199" s="36"/>
      <c r="E199" s="37"/>
      <c r="F199" s="38"/>
    </row>
    <row r="200" spans="1:6" x14ac:dyDescent="0.2">
      <c r="A200" s="33"/>
      <c r="B200" s="34"/>
      <c r="C200" s="35"/>
      <c r="D200" s="36"/>
      <c r="E200" s="37"/>
      <c r="F200" s="38"/>
    </row>
    <row r="201" spans="1:6" x14ac:dyDescent="0.2">
      <c r="A201" s="33"/>
      <c r="B201" s="34"/>
      <c r="C201" s="35"/>
      <c r="D201" s="36"/>
      <c r="E201" s="37"/>
      <c r="F201" s="38"/>
    </row>
    <row r="202" spans="1:6" x14ac:dyDescent="0.2">
      <c r="A202" s="33"/>
      <c r="B202" s="34"/>
      <c r="C202" s="35"/>
      <c r="D202" s="36"/>
      <c r="E202" s="37"/>
      <c r="F202" s="38"/>
    </row>
    <row r="203" spans="1:6" x14ac:dyDescent="0.2">
      <c r="A203" s="33"/>
      <c r="B203" s="34"/>
      <c r="C203" s="35"/>
      <c r="D203" s="36"/>
      <c r="E203" s="37"/>
      <c r="F203" s="38"/>
    </row>
    <row r="204" spans="1:6" x14ac:dyDescent="0.2">
      <c r="A204" s="33"/>
      <c r="B204" s="34"/>
      <c r="C204" s="35"/>
      <c r="D204" s="36"/>
      <c r="E204" s="37"/>
      <c r="F204" s="38"/>
    </row>
    <row r="205" spans="1:6" x14ac:dyDescent="0.2">
      <c r="A205" s="33"/>
      <c r="B205" s="34"/>
      <c r="C205" s="35"/>
      <c r="D205" s="36"/>
      <c r="E205" s="37"/>
      <c r="F205" s="38"/>
    </row>
    <row r="206" spans="1:6" x14ac:dyDescent="0.2">
      <c r="A206" s="33"/>
      <c r="B206" s="34"/>
      <c r="C206" s="35"/>
      <c r="D206" s="36"/>
      <c r="E206" s="37"/>
      <c r="F206" s="38"/>
    </row>
    <row r="207" spans="1:6" x14ac:dyDescent="0.2">
      <c r="A207" s="33"/>
      <c r="B207" s="34"/>
      <c r="C207" s="35"/>
      <c r="D207" s="36"/>
      <c r="E207" s="37"/>
      <c r="F207" s="38"/>
    </row>
    <row r="208" spans="1:6" x14ac:dyDescent="0.2">
      <c r="A208" s="33"/>
      <c r="B208" s="34"/>
      <c r="C208" s="35"/>
      <c r="D208" s="36"/>
      <c r="E208" s="37"/>
      <c r="F208" s="38"/>
    </row>
    <row r="209" spans="1:6" x14ac:dyDescent="0.2">
      <c r="A209" s="33"/>
      <c r="B209" s="34"/>
      <c r="C209" s="35"/>
      <c r="D209" s="36"/>
      <c r="E209" s="37"/>
      <c r="F209" s="38"/>
    </row>
    <row r="210" spans="1:6" x14ac:dyDescent="0.2">
      <c r="A210" s="33"/>
      <c r="B210" s="34"/>
      <c r="C210" s="35"/>
      <c r="D210" s="36"/>
      <c r="E210" s="37"/>
      <c r="F210" s="38"/>
    </row>
    <row r="211" spans="1:6" x14ac:dyDescent="0.2">
      <c r="A211" s="33"/>
      <c r="B211" s="34"/>
      <c r="C211" s="35"/>
      <c r="D211" s="36"/>
      <c r="E211" s="37"/>
      <c r="F211" s="38"/>
    </row>
    <row r="212" spans="1:6" x14ac:dyDescent="0.2">
      <c r="A212" s="33"/>
      <c r="B212" s="34"/>
      <c r="C212" s="35"/>
      <c r="D212" s="36"/>
      <c r="E212" s="37"/>
      <c r="F212" s="38"/>
    </row>
    <row r="213" spans="1:6" x14ac:dyDescent="0.2">
      <c r="A213" s="33"/>
      <c r="B213" s="34"/>
      <c r="C213" s="35"/>
      <c r="D213" s="36"/>
      <c r="E213" s="37"/>
      <c r="F213" s="38"/>
    </row>
    <row r="214" spans="1:6" x14ac:dyDescent="0.2">
      <c r="A214" s="33"/>
      <c r="B214" s="34"/>
      <c r="C214" s="35"/>
      <c r="D214" s="36"/>
      <c r="E214" s="37"/>
      <c r="F214" s="38"/>
    </row>
    <row r="215" spans="1:6" x14ac:dyDescent="0.2">
      <c r="A215" s="33"/>
      <c r="B215" s="34"/>
      <c r="C215" s="35"/>
      <c r="D215" s="36"/>
      <c r="E215" s="37"/>
      <c r="F215" s="38"/>
    </row>
    <row r="216" spans="1:6" x14ac:dyDescent="0.2">
      <c r="A216" s="33"/>
      <c r="B216" s="34"/>
      <c r="C216" s="35"/>
      <c r="D216" s="36"/>
      <c r="E216" s="37"/>
      <c r="F216" s="38"/>
    </row>
    <row r="217" spans="1:6" x14ac:dyDescent="0.2">
      <c r="A217" s="33"/>
      <c r="B217" s="34"/>
      <c r="C217" s="35"/>
      <c r="D217" s="36"/>
      <c r="E217" s="37"/>
      <c r="F217" s="38"/>
    </row>
    <row r="218" spans="1:6" x14ac:dyDescent="0.2">
      <c r="A218" s="33"/>
      <c r="B218" s="34"/>
      <c r="C218" s="35"/>
      <c r="D218" s="36"/>
      <c r="E218" s="37"/>
      <c r="F218" s="38"/>
    </row>
    <row r="219" spans="1:6" x14ac:dyDescent="0.2">
      <c r="A219" s="33"/>
      <c r="B219" s="34"/>
      <c r="C219" s="35"/>
      <c r="D219" s="36"/>
      <c r="E219" s="37"/>
      <c r="F219" s="38"/>
    </row>
    <row r="220" spans="1:6" x14ac:dyDescent="0.2">
      <c r="A220" s="33"/>
      <c r="B220" s="34"/>
      <c r="C220" s="35"/>
      <c r="D220" s="36"/>
      <c r="E220" s="37"/>
      <c r="F220" s="38"/>
    </row>
    <row r="221" spans="1:6" x14ac:dyDescent="0.2">
      <c r="A221" s="33"/>
      <c r="B221" s="34"/>
      <c r="C221" s="35"/>
      <c r="D221" s="36"/>
      <c r="E221" s="37"/>
      <c r="F221" s="38"/>
    </row>
    <row r="222" spans="1:6" x14ac:dyDescent="0.2">
      <c r="A222" s="33"/>
      <c r="B222" s="34"/>
      <c r="C222" s="35"/>
      <c r="D222" s="36"/>
      <c r="E222" s="37"/>
      <c r="F222" s="38"/>
    </row>
    <row r="223" spans="1:6" x14ac:dyDescent="0.2">
      <c r="A223" s="33"/>
      <c r="B223" s="34"/>
      <c r="C223" s="35"/>
      <c r="D223" s="36"/>
      <c r="E223" s="37"/>
      <c r="F223" s="38"/>
    </row>
    <row r="224" spans="1:6" x14ac:dyDescent="0.2">
      <c r="A224" s="33"/>
      <c r="B224" s="34"/>
      <c r="C224" s="35"/>
      <c r="D224" s="36"/>
      <c r="E224" s="37"/>
      <c r="F224" s="38"/>
    </row>
    <row r="225" spans="1:6" x14ac:dyDescent="0.2">
      <c r="A225" s="33"/>
      <c r="B225" s="34"/>
      <c r="C225" s="35"/>
      <c r="D225" s="36"/>
      <c r="E225" s="37"/>
      <c r="F225" s="38"/>
    </row>
    <row r="226" spans="1:6" x14ac:dyDescent="0.2">
      <c r="A226" s="33"/>
      <c r="B226" s="34"/>
      <c r="C226" s="35"/>
      <c r="D226" s="36"/>
      <c r="E226" s="37"/>
      <c r="F226" s="38"/>
    </row>
    <row r="227" spans="1:6" x14ac:dyDescent="0.2">
      <c r="A227" s="33"/>
      <c r="B227" s="34"/>
      <c r="C227" s="35"/>
      <c r="D227" s="36"/>
      <c r="E227" s="37"/>
      <c r="F227" s="38"/>
    </row>
    <row r="228" spans="1:6" x14ac:dyDescent="0.2">
      <c r="A228" s="33"/>
      <c r="B228" s="34"/>
      <c r="C228" s="35"/>
      <c r="D228" s="36"/>
      <c r="E228" s="37"/>
      <c r="F228" s="38"/>
    </row>
    <row r="229" spans="1:6" x14ac:dyDescent="0.2">
      <c r="A229" s="33"/>
      <c r="B229" s="34"/>
      <c r="C229" s="35"/>
      <c r="D229" s="36"/>
      <c r="E229" s="37"/>
      <c r="F229" s="38"/>
    </row>
    <row r="230" spans="1:6" x14ac:dyDescent="0.2">
      <c r="A230" s="33"/>
      <c r="B230" s="34"/>
      <c r="C230" s="35"/>
      <c r="D230" s="36"/>
      <c r="E230" s="37"/>
      <c r="F230" s="38"/>
    </row>
    <row r="231" spans="1:6" x14ac:dyDescent="0.2">
      <c r="A231" s="33"/>
      <c r="B231" s="34"/>
      <c r="C231" s="35"/>
      <c r="D231" s="36"/>
      <c r="E231" s="37"/>
      <c r="F231" s="38"/>
    </row>
    <row r="232" spans="1:6" x14ac:dyDescent="0.2">
      <c r="A232" s="33"/>
      <c r="B232" s="34"/>
      <c r="C232" s="35"/>
      <c r="D232" s="36"/>
      <c r="E232" s="37"/>
      <c r="F232" s="38"/>
    </row>
    <row r="233" spans="1:6" x14ac:dyDescent="0.2">
      <c r="A233" s="33"/>
      <c r="B233" s="34"/>
      <c r="C233" s="35"/>
      <c r="D233" s="36"/>
      <c r="E233" s="37"/>
      <c r="F233" s="38"/>
    </row>
    <row r="234" spans="1:6" x14ac:dyDescent="0.2">
      <c r="A234" s="33"/>
      <c r="B234" s="34"/>
      <c r="C234" s="35"/>
      <c r="D234" s="36"/>
      <c r="E234" s="37"/>
      <c r="F234" s="38"/>
    </row>
    <row r="235" spans="1:6" x14ac:dyDescent="0.2">
      <c r="A235" s="33"/>
      <c r="B235" s="34"/>
      <c r="C235" s="35"/>
      <c r="D235" s="36"/>
      <c r="E235" s="37"/>
      <c r="F235" s="38"/>
    </row>
    <row r="236" spans="1:6" x14ac:dyDescent="0.2">
      <c r="A236" s="33"/>
      <c r="B236" s="34"/>
      <c r="C236" s="35"/>
      <c r="D236" s="36"/>
      <c r="E236" s="37"/>
      <c r="F236" s="38"/>
    </row>
    <row r="237" spans="1:6" x14ac:dyDescent="0.2">
      <c r="A237" s="33"/>
      <c r="B237" s="34"/>
      <c r="C237" s="35"/>
      <c r="D237" s="36"/>
      <c r="E237" s="37"/>
      <c r="F237" s="38"/>
    </row>
    <row r="238" spans="1:6" x14ac:dyDescent="0.2">
      <c r="A238" s="33"/>
      <c r="B238" s="34"/>
      <c r="C238" s="35"/>
      <c r="D238" s="36"/>
      <c r="E238" s="37"/>
      <c r="F238" s="38"/>
    </row>
    <row r="239" spans="1:6" x14ac:dyDescent="0.2">
      <c r="A239" s="33"/>
      <c r="B239" s="34"/>
      <c r="C239" s="35"/>
      <c r="D239" s="36"/>
      <c r="E239" s="37"/>
      <c r="F239" s="38"/>
    </row>
    <row r="240" spans="1:6" x14ac:dyDescent="0.2">
      <c r="A240" s="33"/>
      <c r="B240" s="34"/>
      <c r="C240" s="35"/>
      <c r="D240" s="36"/>
      <c r="E240" s="37"/>
      <c r="F240" s="38"/>
    </row>
    <row r="241" spans="1:6" x14ac:dyDescent="0.2">
      <c r="A241" s="33"/>
      <c r="B241" s="34"/>
      <c r="C241" s="35"/>
      <c r="D241" s="36"/>
      <c r="E241" s="37"/>
      <c r="F241" s="38"/>
    </row>
    <row r="242" spans="1:6" x14ac:dyDescent="0.2">
      <c r="A242" s="33"/>
      <c r="B242" s="34"/>
      <c r="C242" s="35"/>
      <c r="D242" s="36"/>
      <c r="E242" s="37"/>
      <c r="F242" s="38"/>
    </row>
    <row r="243" spans="1:6" x14ac:dyDescent="0.2">
      <c r="A243" s="33"/>
      <c r="B243" s="34"/>
      <c r="C243" s="35"/>
      <c r="D243" s="36"/>
      <c r="E243" s="37"/>
      <c r="F243" s="38"/>
    </row>
    <row r="244" spans="1:6" x14ac:dyDescent="0.2">
      <c r="A244" s="33"/>
      <c r="B244" s="34"/>
      <c r="C244" s="35"/>
      <c r="D244" s="36"/>
      <c r="E244" s="37"/>
      <c r="F244" s="38"/>
    </row>
    <row r="245" spans="1:6" x14ac:dyDescent="0.2">
      <c r="A245" s="33"/>
      <c r="B245" s="34"/>
      <c r="C245" s="35"/>
      <c r="D245" s="36"/>
      <c r="E245" s="37"/>
      <c r="F245" s="38"/>
    </row>
    <row r="246" spans="1:6" x14ac:dyDescent="0.2">
      <c r="A246" s="33"/>
      <c r="B246" s="34"/>
      <c r="C246" s="35"/>
      <c r="D246" s="36"/>
      <c r="E246" s="37"/>
      <c r="F246" s="38"/>
    </row>
    <row r="247" spans="1:6" x14ac:dyDescent="0.2">
      <c r="A247" s="33"/>
      <c r="B247" s="34"/>
      <c r="C247" s="35"/>
      <c r="D247" s="36"/>
      <c r="E247" s="37"/>
      <c r="F247" s="38"/>
    </row>
    <row r="248" spans="1:6" x14ac:dyDescent="0.2">
      <c r="A248" s="33"/>
      <c r="B248" s="34"/>
      <c r="C248" s="35"/>
      <c r="D248" s="36"/>
      <c r="E248" s="37"/>
      <c r="F248" s="38"/>
    </row>
    <row r="249" spans="1:6" x14ac:dyDescent="0.2">
      <c r="A249" s="33"/>
      <c r="B249" s="34"/>
      <c r="C249" s="35"/>
      <c r="D249" s="36"/>
      <c r="E249" s="37"/>
      <c r="F249" s="38"/>
    </row>
    <row r="250" spans="1:6" x14ac:dyDescent="0.2">
      <c r="A250" s="33"/>
      <c r="B250" s="34"/>
      <c r="C250" s="35"/>
      <c r="D250" s="36"/>
      <c r="E250" s="37"/>
      <c r="F250" s="38"/>
    </row>
    <row r="251" spans="1:6" x14ac:dyDescent="0.2">
      <c r="A251" s="33"/>
      <c r="B251" s="34"/>
      <c r="C251" s="35"/>
      <c r="D251" s="36"/>
      <c r="E251" s="37"/>
      <c r="F251" s="38"/>
    </row>
    <row r="252" spans="1:6" x14ac:dyDescent="0.2">
      <c r="A252" s="33"/>
      <c r="B252" s="34"/>
      <c r="C252" s="35"/>
      <c r="D252" s="36"/>
      <c r="E252" s="37"/>
      <c r="F252" s="38"/>
    </row>
    <row r="253" spans="1:6" x14ac:dyDescent="0.2">
      <c r="A253" s="33"/>
      <c r="B253" s="34"/>
      <c r="C253" s="35"/>
      <c r="D253" s="36"/>
      <c r="E253" s="37"/>
      <c r="F253" s="38"/>
    </row>
    <row r="254" spans="1:6" x14ac:dyDescent="0.2">
      <c r="A254" s="33"/>
      <c r="B254" s="34"/>
      <c r="C254" s="35"/>
      <c r="D254" s="36"/>
      <c r="E254" s="37"/>
      <c r="F254" s="38"/>
    </row>
    <row r="255" spans="1:6" x14ac:dyDescent="0.2">
      <c r="A255" s="33"/>
      <c r="B255" s="34"/>
      <c r="C255" s="35"/>
      <c r="D255" s="36"/>
      <c r="E255" s="37"/>
      <c r="F255" s="38"/>
    </row>
    <row r="256" spans="1:6" x14ac:dyDescent="0.2">
      <c r="A256" s="33"/>
      <c r="B256" s="34"/>
      <c r="C256" s="35"/>
      <c r="D256" s="36"/>
      <c r="E256" s="37"/>
      <c r="F256" s="38"/>
    </row>
    <row r="257" spans="1:6" x14ac:dyDescent="0.2">
      <c r="A257" s="33"/>
      <c r="B257" s="34"/>
      <c r="C257" s="35"/>
      <c r="D257" s="36"/>
      <c r="E257" s="37"/>
      <c r="F257" s="38"/>
    </row>
    <row r="258" spans="1:6" x14ac:dyDescent="0.2">
      <c r="A258" s="33"/>
      <c r="B258" s="34"/>
      <c r="C258" s="35"/>
      <c r="D258" s="36"/>
      <c r="E258" s="37"/>
      <c r="F258" s="38"/>
    </row>
    <row r="259" spans="1:6" x14ac:dyDescent="0.2">
      <c r="A259" s="33"/>
      <c r="B259" s="34"/>
      <c r="C259" s="35"/>
      <c r="D259" s="36"/>
      <c r="E259" s="37"/>
      <c r="F259" s="38"/>
    </row>
    <row r="260" spans="1:6" x14ac:dyDescent="0.2">
      <c r="A260" s="33"/>
      <c r="B260" s="34"/>
      <c r="C260" s="35"/>
      <c r="D260" s="36"/>
      <c r="E260" s="37"/>
      <c r="F260" s="38"/>
    </row>
    <row r="261" spans="1:6" x14ac:dyDescent="0.2">
      <c r="A261" s="33"/>
      <c r="B261" s="34"/>
      <c r="C261" s="35"/>
      <c r="D261" s="36"/>
      <c r="E261" s="37"/>
      <c r="F261" s="38"/>
    </row>
    <row r="262" spans="1:6" x14ac:dyDescent="0.2">
      <c r="A262" s="33"/>
      <c r="B262" s="34"/>
      <c r="C262" s="35"/>
      <c r="D262" s="36"/>
      <c r="E262" s="37"/>
      <c r="F262" s="38"/>
    </row>
    <row r="263" spans="1:6" x14ac:dyDescent="0.2">
      <c r="A263" s="33"/>
      <c r="B263" s="34"/>
      <c r="C263" s="35"/>
      <c r="D263" s="36"/>
      <c r="E263" s="37"/>
      <c r="F263" s="38"/>
    </row>
    <row r="264" spans="1:6" x14ac:dyDescent="0.2">
      <c r="A264" s="33"/>
      <c r="B264" s="34"/>
      <c r="C264" s="35"/>
      <c r="D264" s="36"/>
      <c r="E264" s="37"/>
      <c r="F264" s="38"/>
    </row>
    <row r="265" spans="1:6" x14ac:dyDescent="0.2">
      <c r="A265" s="33"/>
      <c r="B265" s="34"/>
      <c r="C265" s="35"/>
      <c r="D265" s="36"/>
      <c r="E265" s="37"/>
      <c r="F265" s="38"/>
    </row>
    <row r="266" spans="1:6" x14ac:dyDescent="0.2">
      <c r="A266" s="33"/>
      <c r="B266" s="34"/>
      <c r="C266" s="35"/>
      <c r="D266" s="36"/>
      <c r="E266" s="37"/>
      <c r="F266" s="38"/>
    </row>
    <row r="267" spans="1:6" x14ac:dyDescent="0.2">
      <c r="A267" s="33"/>
      <c r="B267" s="34"/>
      <c r="C267" s="35"/>
      <c r="D267" s="36"/>
      <c r="E267" s="37"/>
      <c r="F267" s="38"/>
    </row>
    <row r="268" spans="1:6" x14ac:dyDescent="0.2">
      <c r="A268" s="33"/>
      <c r="B268" s="34"/>
      <c r="C268" s="35"/>
      <c r="D268" s="36"/>
      <c r="E268" s="37"/>
      <c r="F268" s="38"/>
    </row>
    <row r="269" spans="1:6" x14ac:dyDescent="0.2">
      <c r="A269" s="33"/>
      <c r="B269" s="34"/>
      <c r="C269" s="35"/>
      <c r="D269" s="36"/>
      <c r="E269" s="37"/>
      <c r="F269" s="38"/>
    </row>
    <row r="270" spans="1:6" x14ac:dyDescent="0.2">
      <c r="A270" s="33"/>
      <c r="B270" s="34"/>
      <c r="C270" s="35"/>
      <c r="D270" s="36"/>
      <c r="E270" s="37"/>
      <c r="F270" s="38"/>
    </row>
    <row r="271" spans="1:6" x14ac:dyDescent="0.2">
      <c r="A271" s="33"/>
      <c r="B271" s="34"/>
      <c r="C271" s="35"/>
      <c r="D271" s="36"/>
      <c r="E271" s="37"/>
      <c r="F271" s="38"/>
    </row>
    <row r="272" spans="1:6" x14ac:dyDescent="0.2">
      <c r="A272" s="33"/>
      <c r="B272" s="34"/>
      <c r="C272" s="35"/>
      <c r="D272" s="36"/>
      <c r="E272" s="37"/>
      <c r="F272" s="38"/>
    </row>
    <row r="273" spans="1:6" x14ac:dyDescent="0.2">
      <c r="A273" s="33"/>
      <c r="B273" s="34"/>
      <c r="C273" s="35"/>
      <c r="D273" s="36"/>
      <c r="E273" s="37"/>
      <c r="F273" s="38"/>
    </row>
    <row r="274" spans="1:6" x14ac:dyDescent="0.2">
      <c r="A274" s="33"/>
      <c r="B274" s="34"/>
      <c r="C274" s="35"/>
      <c r="D274" s="36"/>
      <c r="E274" s="37"/>
      <c r="F274" s="38"/>
    </row>
    <row r="275" spans="1:6" x14ac:dyDescent="0.2">
      <c r="A275" s="33"/>
      <c r="B275" s="34"/>
      <c r="C275" s="35"/>
      <c r="D275" s="36"/>
      <c r="E275" s="37"/>
      <c r="F275" s="38"/>
    </row>
    <row r="276" spans="1:6" x14ac:dyDescent="0.2">
      <c r="A276" s="33"/>
      <c r="B276" s="34"/>
      <c r="C276" s="35"/>
      <c r="D276" s="36"/>
      <c r="E276" s="37"/>
      <c r="F276" s="38"/>
    </row>
    <row r="277" spans="1:6" x14ac:dyDescent="0.2">
      <c r="A277" s="33"/>
      <c r="B277" s="34"/>
      <c r="C277" s="35"/>
      <c r="D277" s="36"/>
      <c r="E277" s="37"/>
      <c r="F277" s="38"/>
    </row>
    <row r="278" spans="1:6" x14ac:dyDescent="0.2">
      <c r="A278" s="33"/>
      <c r="B278" s="34"/>
      <c r="C278" s="35"/>
      <c r="D278" s="36"/>
      <c r="E278" s="37"/>
      <c r="F278" s="38"/>
    </row>
    <row r="279" spans="1:6" x14ac:dyDescent="0.2">
      <c r="A279" s="33"/>
      <c r="B279" s="34"/>
      <c r="C279" s="35"/>
      <c r="D279" s="36"/>
      <c r="E279" s="37"/>
      <c r="F279" s="38"/>
    </row>
    <row r="280" spans="1:6" x14ac:dyDescent="0.2">
      <c r="A280" s="33"/>
      <c r="B280" s="34"/>
      <c r="C280" s="35"/>
      <c r="D280" s="36"/>
      <c r="E280" s="37"/>
      <c r="F280" s="38"/>
    </row>
    <row r="281" spans="1:6" x14ac:dyDescent="0.2">
      <c r="A281" s="33"/>
      <c r="B281" s="34"/>
      <c r="C281" s="35"/>
      <c r="D281" s="36"/>
      <c r="E281" s="37"/>
      <c r="F281" s="38"/>
    </row>
    <row r="282" spans="1:6" x14ac:dyDescent="0.2">
      <c r="A282" s="33"/>
      <c r="B282" s="34"/>
      <c r="C282" s="35"/>
      <c r="D282" s="36"/>
      <c r="E282" s="37"/>
      <c r="F282" s="38"/>
    </row>
    <row r="283" spans="1:6" x14ac:dyDescent="0.2">
      <c r="A283" s="33"/>
      <c r="B283" s="34"/>
      <c r="C283" s="35"/>
      <c r="D283" s="36"/>
      <c r="E283" s="37"/>
      <c r="F283" s="38"/>
    </row>
    <row r="284" spans="1:6" x14ac:dyDescent="0.2">
      <c r="A284" s="33"/>
      <c r="B284" s="34"/>
      <c r="C284" s="35"/>
      <c r="D284" s="36"/>
      <c r="E284" s="37"/>
      <c r="F284" s="38"/>
    </row>
    <row r="285" spans="1:6" x14ac:dyDescent="0.2">
      <c r="A285" s="33"/>
      <c r="B285" s="34"/>
      <c r="C285" s="35"/>
      <c r="D285" s="36"/>
      <c r="E285" s="37"/>
      <c r="F285" s="38"/>
    </row>
    <row r="286" spans="1:6" x14ac:dyDescent="0.2">
      <c r="A286" s="33"/>
      <c r="B286" s="34"/>
      <c r="C286" s="35"/>
      <c r="D286" s="36"/>
      <c r="E286" s="37"/>
      <c r="F286" s="38"/>
    </row>
    <row r="287" spans="1:6" x14ac:dyDescent="0.2">
      <c r="A287" s="33"/>
      <c r="B287" s="34"/>
      <c r="C287" s="35"/>
      <c r="D287" s="36"/>
      <c r="E287" s="37"/>
      <c r="F287" s="38"/>
    </row>
    <row r="288" spans="1:6" x14ac:dyDescent="0.2">
      <c r="A288" s="33"/>
      <c r="B288" s="34"/>
      <c r="C288" s="35"/>
      <c r="D288" s="36"/>
      <c r="E288" s="37"/>
      <c r="F288" s="38"/>
    </row>
    <row r="289" spans="1:6" x14ac:dyDescent="0.2">
      <c r="A289" s="33"/>
      <c r="B289" s="34"/>
      <c r="C289" s="35"/>
      <c r="D289" s="36"/>
      <c r="E289" s="37"/>
      <c r="F289" s="38"/>
    </row>
    <row r="290" spans="1:6" x14ac:dyDescent="0.2">
      <c r="A290" s="33"/>
      <c r="B290" s="34"/>
      <c r="C290" s="35"/>
      <c r="D290" s="36"/>
      <c r="E290" s="37"/>
      <c r="F290" s="38"/>
    </row>
    <row r="291" spans="1:6" x14ac:dyDescent="0.2">
      <c r="A291" s="33"/>
      <c r="B291" s="34"/>
      <c r="C291" s="35"/>
      <c r="D291" s="36"/>
      <c r="E291" s="37"/>
      <c r="F291" s="38"/>
    </row>
    <row r="292" spans="1:6" x14ac:dyDescent="0.2">
      <c r="A292" s="33"/>
      <c r="B292" s="34"/>
      <c r="C292" s="35"/>
      <c r="D292" s="36"/>
      <c r="E292" s="37"/>
      <c r="F292" s="38"/>
    </row>
    <row r="293" spans="1:6" x14ac:dyDescent="0.2">
      <c r="A293" s="33"/>
      <c r="B293" s="34"/>
      <c r="C293" s="35"/>
      <c r="D293" s="36"/>
      <c r="E293" s="37"/>
      <c r="F293" s="38"/>
    </row>
    <row r="294" spans="1:6" x14ac:dyDescent="0.2">
      <c r="A294" s="33"/>
      <c r="B294" s="34"/>
      <c r="C294" s="35"/>
      <c r="D294" s="36"/>
      <c r="E294" s="37"/>
      <c r="F294" s="38"/>
    </row>
    <row r="295" spans="1:6" x14ac:dyDescent="0.2">
      <c r="A295" s="33"/>
      <c r="B295" s="34"/>
      <c r="C295" s="35"/>
      <c r="D295" s="36"/>
      <c r="E295" s="37"/>
      <c r="F295" s="38"/>
    </row>
    <row r="296" spans="1:6" x14ac:dyDescent="0.2">
      <c r="A296" s="33"/>
      <c r="B296" s="34"/>
      <c r="C296" s="35"/>
      <c r="D296" s="36"/>
      <c r="E296" s="37"/>
      <c r="F296" s="38"/>
    </row>
    <row r="297" spans="1:6" x14ac:dyDescent="0.2">
      <c r="A297" s="33"/>
      <c r="B297" s="34"/>
      <c r="C297" s="35"/>
      <c r="D297" s="36"/>
      <c r="E297" s="37"/>
      <c r="F297" s="38"/>
    </row>
    <row r="298" spans="1:6" x14ac:dyDescent="0.2">
      <c r="A298" s="33"/>
      <c r="B298" s="34"/>
      <c r="C298" s="35"/>
      <c r="D298" s="36"/>
      <c r="E298" s="37"/>
      <c r="F298" s="38"/>
    </row>
    <row r="299" spans="1:6" x14ac:dyDescent="0.2">
      <c r="A299" s="33"/>
      <c r="B299" s="34"/>
      <c r="C299" s="35"/>
      <c r="D299" s="36"/>
      <c r="E299" s="37"/>
      <c r="F299" s="38"/>
    </row>
    <row r="300" spans="1:6" x14ac:dyDescent="0.2">
      <c r="A300" s="33"/>
      <c r="B300" s="34"/>
      <c r="C300" s="35"/>
      <c r="D300" s="36"/>
      <c r="E300" s="37"/>
      <c r="F300" s="38"/>
    </row>
    <row r="301" spans="1:6" x14ac:dyDescent="0.2">
      <c r="A301" s="33"/>
      <c r="B301" s="34"/>
      <c r="C301" s="35"/>
      <c r="D301" s="36"/>
      <c r="E301" s="37"/>
      <c r="F301" s="38"/>
    </row>
    <row r="302" spans="1:6" x14ac:dyDescent="0.2">
      <c r="A302" s="33"/>
      <c r="B302" s="34"/>
      <c r="C302" s="35"/>
      <c r="D302" s="36"/>
      <c r="E302" s="37"/>
      <c r="F302" s="38"/>
    </row>
    <row r="303" spans="1:6" x14ac:dyDescent="0.2">
      <c r="A303" s="33"/>
      <c r="B303" s="34"/>
      <c r="C303" s="35"/>
      <c r="D303" s="36"/>
      <c r="E303" s="37"/>
      <c r="F303" s="38"/>
    </row>
    <row r="304" spans="1:6" x14ac:dyDescent="0.2">
      <c r="A304" s="33"/>
      <c r="B304" s="34"/>
      <c r="C304" s="35"/>
      <c r="D304" s="36"/>
      <c r="E304" s="37"/>
      <c r="F304" s="38"/>
    </row>
    <row r="305" spans="1:6" x14ac:dyDescent="0.2">
      <c r="A305" s="33"/>
      <c r="B305" s="34"/>
      <c r="C305" s="35"/>
      <c r="D305" s="36"/>
      <c r="E305" s="37"/>
      <c r="F305" s="38"/>
    </row>
    <row r="306" spans="1:6" x14ac:dyDescent="0.2">
      <c r="A306" s="33"/>
      <c r="B306" s="34"/>
      <c r="C306" s="35"/>
      <c r="D306" s="36"/>
      <c r="E306" s="37"/>
      <c r="F306" s="38"/>
    </row>
    <row r="307" spans="1:6" x14ac:dyDescent="0.2">
      <c r="A307" s="33"/>
      <c r="B307" s="34"/>
      <c r="C307" s="35"/>
      <c r="D307" s="36"/>
      <c r="E307" s="37"/>
      <c r="F307" s="38"/>
    </row>
    <row r="308" spans="1:6" x14ac:dyDescent="0.2">
      <c r="A308" s="33"/>
      <c r="B308" s="34"/>
      <c r="C308" s="35"/>
      <c r="D308" s="36"/>
      <c r="E308" s="37"/>
      <c r="F308" s="38"/>
    </row>
    <row r="309" spans="1:6" x14ac:dyDescent="0.2">
      <c r="A309" s="33"/>
      <c r="B309" s="34"/>
      <c r="C309" s="35"/>
      <c r="D309" s="36"/>
      <c r="E309" s="37"/>
      <c r="F309" s="38"/>
    </row>
    <row r="310" spans="1:6" x14ac:dyDescent="0.2">
      <c r="A310" s="33"/>
      <c r="B310" s="34"/>
      <c r="C310" s="35"/>
      <c r="D310" s="36"/>
      <c r="E310" s="37"/>
      <c r="F310" s="38"/>
    </row>
    <row r="311" spans="1:6" x14ac:dyDescent="0.2">
      <c r="A311" s="33"/>
      <c r="B311" s="34"/>
      <c r="C311" s="35"/>
      <c r="D311" s="36"/>
      <c r="E311" s="37"/>
      <c r="F311" s="38"/>
    </row>
    <row r="312" spans="1:6" x14ac:dyDescent="0.2">
      <c r="A312" s="33"/>
      <c r="B312" s="34"/>
      <c r="C312" s="35"/>
      <c r="D312" s="36"/>
      <c r="E312" s="37"/>
      <c r="F312" s="38"/>
    </row>
    <row r="313" spans="1:6" x14ac:dyDescent="0.2">
      <c r="A313" s="33"/>
      <c r="B313" s="34"/>
      <c r="C313" s="35"/>
      <c r="D313" s="36"/>
      <c r="E313" s="37"/>
      <c r="F313" s="38"/>
    </row>
    <row r="314" spans="1:6" x14ac:dyDescent="0.2">
      <c r="A314" s="33"/>
      <c r="B314" s="34"/>
      <c r="C314" s="35"/>
      <c r="D314" s="36"/>
      <c r="E314" s="37"/>
      <c r="F314" s="38"/>
    </row>
    <row r="315" spans="1:6" x14ac:dyDescent="0.2">
      <c r="A315" s="33"/>
      <c r="B315" s="34"/>
      <c r="C315" s="35"/>
      <c r="D315" s="36"/>
      <c r="E315" s="37"/>
      <c r="F315" s="38"/>
    </row>
    <row r="316" spans="1:6" x14ac:dyDescent="0.2">
      <c r="A316" s="33"/>
      <c r="B316" s="34"/>
      <c r="C316" s="35"/>
      <c r="D316" s="36"/>
      <c r="E316" s="37"/>
      <c r="F316" s="38"/>
    </row>
    <row r="317" spans="1:6" x14ac:dyDescent="0.2">
      <c r="A317" s="33"/>
      <c r="B317" s="34"/>
      <c r="C317" s="35"/>
      <c r="D317" s="36"/>
      <c r="E317" s="37"/>
      <c r="F317" s="38"/>
    </row>
    <row r="318" spans="1:6" x14ac:dyDescent="0.2">
      <c r="A318" s="33"/>
      <c r="B318" s="34"/>
      <c r="C318" s="35"/>
      <c r="D318" s="36"/>
      <c r="E318" s="37"/>
      <c r="F318" s="38"/>
    </row>
    <row r="319" spans="1:6" x14ac:dyDescent="0.2">
      <c r="A319" s="33"/>
      <c r="B319" s="34"/>
      <c r="C319" s="35"/>
      <c r="D319" s="36"/>
      <c r="E319" s="37"/>
      <c r="F319" s="38"/>
    </row>
    <row r="320" spans="1:6" x14ac:dyDescent="0.2">
      <c r="A320" s="33"/>
      <c r="B320" s="34"/>
      <c r="C320" s="35"/>
      <c r="D320" s="36"/>
      <c r="E320" s="37"/>
      <c r="F320" s="38"/>
    </row>
    <row r="321" spans="1:6" x14ac:dyDescent="0.2">
      <c r="A321" s="33"/>
      <c r="B321" s="34"/>
      <c r="C321" s="35"/>
      <c r="D321" s="36"/>
      <c r="E321" s="37"/>
      <c r="F321" s="38"/>
    </row>
    <row r="322" spans="1:6" x14ac:dyDescent="0.2">
      <c r="A322" s="33"/>
      <c r="B322" s="34"/>
      <c r="C322" s="35"/>
      <c r="D322" s="36"/>
      <c r="E322" s="37"/>
      <c r="F322" s="38"/>
    </row>
    <row r="323" spans="1:6" x14ac:dyDescent="0.2">
      <c r="A323" s="33"/>
      <c r="B323" s="34"/>
      <c r="C323" s="35"/>
      <c r="D323" s="36"/>
      <c r="E323" s="37"/>
      <c r="F323" s="38"/>
    </row>
    <row r="324" spans="1:6" x14ac:dyDescent="0.2">
      <c r="A324" s="33"/>
      <c r="B324" s="34"/>
      <c r="C324" s="35"/>
      <c r="D324" s="36"/>
      <c r="E324" s="37"/>
      <c r="F324" s="38"/>
    </row>
    <row r="325" spans="1:6" x14ac:dyDescent="0.2">
      <c r="A325" s="33"/>
      <c r="B325" s="34"/>
      <c r="C325" s="35"/>
      <c r="D325" s="36"/>
      <c r="E325" s="37"/>
      <c r="F325" s="38"/>
    </row>
    <row r="326" spans="1:6" x14ac:dyDescent="0.2">
      <c r="A326" s="33"/>
      <c r="B326" s="34"/>
      <c r="C326" s="35"/>
      <c r="D326" s="36"/>
      <c r="E326" s="37"/>
      <c r="F326" s="38"/>
    </row>
    <row r="327" spans="1:6" x14ac:dyDescent="0.2">
      <c r="A327" s="33"/>
      <c r="B327" s="34"/>
      <c r="C327" s="35"/>
      <c r="D327" s="36"/>
      <c r="E327" s="37"/>
      <c r="F327" s="38"/>
    </row>
    <row r="328" spans="1:6" x14ac:dyDescent="0.2">
      <c r="A328" s="33"/>
      <c r="B328" s="34"/>
      <c r="C328" s="35"/>
      <c r="D328" s="36"/>
      <c r="E328" s="37"/>
      <c r="F328" s="38"/>
    </row>
    <row r="329" spans="1:6" x14ac:dyDescent="0.2">
      <c r="A329" s="33"/>
      <c r="B329" s="34"/>
      <c r="C329" s="35"/>
      <c r="D329" s="36"/>
      <c r="E329" s="37"/>
      <c r="F329" s="38"/>
    </row>
    <row r="330" spans="1:6" x14ac:dyDescent="0.2">
      <c r="A330" s="33"/>
      <c r="B330" s="34"/>
      <c r="C330" s="35"/>
      <c r="D330" s="36"/>
      <c r="E330" s="37"/>
      <c r="F330" s="38"/>
    </row>
    <row r="331" spans="1:6" x14ac:dyDescent="0.2">
      <c r="A331" s="33"/>
      <c r="B331" s="34"/>
      <c r="C331" s="35"/>
      <c r="D331" s="36"/>
      <c r="E331" s="37"/>
      <c r="F331" s="38"/>
    </row>
    <row r="332" spans="1:6" x14ac:dyDescent="0.2">
      <c r="A332" s="33"/>
      <c r="B332" s="34"/>
      <c r="C332" s="35"/>
      <c r="D332" s="36"/>
      <c r="E332" s="37"/>
      <c r="F332" s="38"/>
    </row>
    <row r="333" spans="1:6" x14ac:dyDescent="0.2">
      <c r="A333" s="33"/>
      <c r="B333" s="34"/>
      <c r="C333" s="35"/>
      <c r="D333" s="36"/>
      <c r="E333" s="37"/>
      <c r="F333" s="38"/>
    </row>
    <row r="334" spans="1:6" x14ac:dyDescent="0.2">
      <c r="A334" s="33"/>
      <c r="B334" s="34"/>
      <c r="C334" s="35"/>
      <c r="D334" s="36"/>
      <c r="E334" s="37"/>
      <c r="F334" s="38"/>
    </row>
    <row r="335" spans="1:6" x14ac:dyDescent="0.2">
      <c r="A335" s="33"/>
      <c r="B335" s="34"/>
      <c r="C335" s="35"/>
      <c r="D335" s="36"/>
      <c r="E335" s="37"/>
      <c r="F335" s="38"/>
    </row>
    <row r="336" spans="1:6" x14ac:dyDescent="0.2">
      <c r="A336" s="33"/>
      <c r="B336" s="34"/>
      <c r="C336" s="35"/>
      <c r="D336" s="36"/>
      <c r="E336" s="37"/>
      <c r="F336" s="38"/>
    </row>
    <row r="337" spans="1:6" x14ac:dyDescent="0.2">
      <c r="A337" s="33"/>
      <c r="B337" s="34"/>
      <c r="C337" s="35"/>
      <c r="D337" s="36"/>
      <c r="E337" s="37"/>
      <c r="F337" s="38"/>
    </row>
    <row r="338" spans="1:6" x14ac:dyDescent="0.2">
      <c r="A338" s="33"/>
      <c r="B338" s="34"/>
      <c r="C338" s="35"/>
      <c r="D338" s="36"/>
      <c r="E338" s="37"/>
      <c r="F338" s="38"/>
    </row>
    <row r="339" spans="1:6" x14ac:dyDescent="0.2">
      <c r="A339" s="33"/>
      <c r="B339" s="34"/>
      <c r="C339" s="35"/>
      <c r="D339" s="36"/>
      <c r="E339" s="37"/>
      <c r="F339" s="38"/>
    </row>
    <row r="340" spans="1:6" x14ac:dyDescent="0.2">
      <c r="A340" s="33"/>
      <c r="B340" s="34"/>
      <c r="C340" s="35"/>
      <c r="D340" s="36"/>
      <c r="E340" s="37"/>
      <c r="F340" s="38"/>
    </row>
    <row r="341" spans="1:6" x14ac:dyDescent="0.2">
      <c r="A341" s="33"/>
      <c r="B341" s="34"/>
      <c r="C341" s="35"/>
      <c r="D341" s="36"/>
      <c r="E341" s="37"/>
      <c r="F341" s="38"/>
    </row>
    <row r="342" spans="1:6" x14ac:dyDescent="0.2">
      <c r="A342" s="33"/>
      <c r="B342" s="34"/>
      <c r="C342" s="35"/>
      <c r="D342" s="36"/>
      <c r="E342" s="37"/>
      <c r="F342" s="38"/>
    </row>
    <row r="343" spans="1:6" x14ac:dyDescent="0.2">
      <c r="A343" s="33"/>
      <c r="B343" s="34"/>
      <c r="C343" s="35"/>
      <c r="D343" s="36"/>
      <c r="E343" s="37"/>
      <c r="F343" s="38"/>
    </row>
    <row r="344" spans="1:6" x14ac:dyDescent="0.2">
      <c r="A344" s="33"/>
      <c r="B344" s="34"/>
      <c r="C344" s="35"/>
      <c r="D344" s="36"/>
      <c r="E344" s="37"/>
      <c r="F344" s="38"/>
    </row>
    <row r="345" spans="1:6" x14ac:dyDescent="0.2">
      <c r="A345" s="33"/>
      <c r="B345" s="34"/>
      <c r="C345" s="35"/>
      <c r="D345" s="36"/>
      <c r="E345" s="37"/>
      <c r="F345" s="38"/>
    </row>
    <row r="346" spans="1:6" x14ac:dyDescent="0.2">
      <c r="A346" s="33"/>
      <c r="B346" s="34"/>
      <c r="C346" s="35"/>
      <c r="D346" s="36"/>
      <c r="E346" s="37"/>
      <c r="F346" s="38"/>
    </row>
    <row r="347" spans="1:6" x14ac:dyDescent="0.2">
      <c r="A347" s="33"/>
      <c r="B347" s="34"/>
      <c r="C347" s="35"/>
      <c r="D347" s="36"/>
      <c r="E347" s="37"/>
      <c r="F347" s="38"/>
    </row>
    <row r="348" spans="1:6" x14ac:dyDescent="0.2">
      <c r="A348" s="33"/>
      <c r="B348" s="34"/>
      <c r="C348" s="35"/>
      <c r="D348" s="36"/>
      <c r="E348" s="37"/>
      <c r="F348" s="38"/>
    </row>
    <row r="349" spans="1:6" x14ac:dyDescent="0.2">
      <c r="A349" s="33"/>
      <c r="B349" s="34"/>
      <c r="C349" s="35"/>
      <c r="D349" s="36"/>
      <c r="E349" s="37"/>
      <c r="F349" s="38"/>
    </row>
    <row r="350" spans="1:6" x14ac:dyDescent="0.2">
      <c r="A350" s="33"/>
      <c r="B350" s="34"/>
      <c r="C350" s="35"/>
      <c r="D350" s="36"/>
      <c r="E350" s="37"/>
      <c r="F350" s="38"/>
    </row>
    <row r="351" spans="1:6" x14ac:dyDescent="0.2">
      <c r="A351" s="33"/>
      <c r="B351" s="34"/>
      <c r="C351" s="35"/>
      <c r="D351" s="36"/>
      <c r="E351" s="37"/>
      <c r="F351" s="38"/>
    </row>
    <row r="352" spans="1:6" x14ac:dyDescent="0.2">
      <c r="A352" s="33"/>
      <c r="B352" s="34"/>
      <c r="C352" s="35"/>
      <c r="D352" s="36"/>
      <c r="E352" s="37"/>
      <c r="F352" s="38"/>
    </row>
    <row r="353" spans="1:6" x14ac:dyDescent="0.2">
      <c r="A353" s="33"/>
      <c r="B353" s="34"/>
      <c r="C353" s="35"/>
      <c r="D353" s="36"/>
      <c r="E353" s="37"/>
      <c r="F353" s="38"/>
    </row>
    <row r="354" spans="1:6" x14ac:dyDescent="0.2">
      <c r="A354" s="33"/>
      <c r="B354" s="34"/>
      <c r="C354" s="35"/>
      <c r="D354" s="36"/>
      <c r="E354" s="37"/>
      <c r="F354" s="38"/>
    </row>
    <row r="355" spans="1:6" x14ac:dyDescent="0.2">
      <c r="A355" s="33"/>
      <c r="B355" s="34"/>
      <c r="C355" s="35"/>
      <c r="D355" s="36"/>
      <c r="E355" s="37"/>
      <c r="F355" s="38"/>
    </row>
    <row r="356" spans="1:6" x14ac:dyDescent="0.2">
      <c r="A356" s="33"/>
      <c r="B356" s="34"/>
      <c r="C356" s="35"/>
      <c r="D356" s="36"/>
      <c r="E356" s="37"/>
      <c r="F356" s="38"/>
    </row>
    <row r="357" spans="1:6" x14ac:dyDescent="0.2">
      <c r="A357" s="33"/>
      <c r="B357" s="34"/>
      <c r="C357" s="35"/>
      <c r="D357" s="36"/>
      <c r="E357" s="37"/>
      <c r="F357" s="38"/>
    </row>
    <row r="358" spans="1:6" x14ac:dyDescent="0.2">
      <c r="A358" s="33"/>
      <c r="B358" s="34"/>
      <c r="C358" s="35"/>
      <c r="D358" s="36"/>
      <c r="E358" s="37"/>
      <c r="F358" s="38"/>
    </row>
    <row r="359" spans="1:6" x14ac:dyDescent="0.2">
      <c r="A359" s="33"/>
      <c r="B359" s="34"/>
      <c r="C359" s="35"/>
      <c r="D359" s="36"/>
      <c r="E359" s="37"/>
      <c r="F359" s="38"/>
    </row>
    <row r="360" spans="1:6" x14ac:dyDescent="0.2">
      <c r="A360" s="33"/>
      <c r="B360" s="34"/>
      <c r="C360" s="35"/>
      <c r="D360" s="36"/>
      <c r="E360" s="37"/>
      <c r="F360" s="38"/>
    </row>
    <row r="361" spans="1:6" x14ac:dyDescent="0.2">
      <c r="A361" s="33"/>
      <c r="B361" s="34"/>
      <c r="C361" s="35"/>
      <c r="D361" s="36"/>
      <c r="E361" s="37"/>
      <c r="F361" s="38"/>
    </row>
    <row r="362" spans="1:6" x14ac:dyDescent="0.2">
      <c r="A362" s="33"/>
      <c r="B362" s="34"/>
      <c r="C362" s="35"/>
      <c r="D362" s="36"/>
      <c r="E362" s="37"/>
      <c r="F362" s="38"/>
    </row>
    <row r="363" spans="1:6" x14ac:dyDescent="0.2">
      <c r="A363" s="33"/>
      <c r="B363" s="34"/>
      <c r="C363" s="35"/>
      <c r="D363" s="36"/>
      <c r="E363" s="37"/>
      <c r="F363" s="38"/>
    </row>
    <row r="364" spans="1:6" x14ac:dyDescent="0.2">
      <c r="A364" s="33"/>
      <c r="B364" s="34"/>
      <c r="C364" s="35"/>
      <c r="D364" s="36"/>
      <c r="E364" s="37"/>
      <c r="F364" s="38"/>
    </row>
    <row r="365" spans="1:6" x14ac:dyDescent="0.2">
      <c r="A365" s="33"/>
      <c r="B365" s="34"/>
      <c r="C365" s="35"/>
      <c r="D365" s="36"/>
      <c r="E365" s="37"/>
      <c r="F365" s="38"/>
    </row>
    <row r="366" spans="1:6" x14ac:dyDescent="0.2">
      <c r="A366" s="33"/>
      <c r="B366" s="34"/>
      <c r="C366" s="35"/>
      <c r="D366" s="36"/>
      <c r="E366" s="37"/>
      <c r="F366" s="38"/>
    </row>
    <row r="367" spans="1:6" x14ac:dyDescent="0.2">
      <c r="A367" s="33"/>
      <c r="B367" s="34"/>
      <c r="C367" s="35"/>
      <c r="D367" s="36"/>
      <c r="E367" s="37"/>
      <c r="F367" s="38"/>
    </row>
    <row r="368" spans="1:6" x14ac:dyDescent="0.2">
      <c r="A368" s="33"/>
      <c r="B368" s="34"/>
      <c r="C368" s="35"/>
      <c r="D368" s="36"/>
      <c r="E368" s="37"/>
      <c r="F368" s="38"/>
    </row>
    <row r="369" spans="1:6" x14ac:dyDescent="0.2">
      <c r="A369" s="33"/>
      <c r="B369" s="34"/>
      <c r="C369" s="35"/>
      <c r="D369" s="36"/>
      <c r="E369" s="37"/>
      <c r="F369" s="38"/>
    </row>
    <row r="370" spans="1:6" x14ac:dyDescent="0.2">
      <c r="A370" s="33"/>
      <c r="B370" s="34"/>
      <c r="C370" s="35"/>
      <c r="D370" s="36"/>
      <c r="E370" s="37"/>
      <c r="F370" s="38"/>
    </row>
    <row r="371" spans="1:6" x14ac:dyDescent="0.2">
      <c r="A371" s="33"/>
      <c r="B371" s="34"/>
      <c r="C371" s="35"/>
      <c r="D371" s="36"/>
      <c r="E371" s="37"/>
      <c r="F371" s="38"/>
    </row>
    <row r="372" spans="1:6" x14ac:dyDescent="0.2">
      <c r="A372" s="33"/>
      <c r="B372" s="34"/>
      <c r="C372" s="35"/>
      <c r="D372" s="36"/>
      <c r="E372" s="37"/>
      <c r="F372" s="38"/>
    </row>
    <row r="373" spans="1:6" x14ac:dyDescent="0.2">
      <c r="A373" s="33"/>
      <c r="B373" s="34"/>
      <c r="C373" s="35"/>
      <c r="D373" s="36"/>
      <c r="E373" s="37"/>
      <c r="F373" s="38"/>
    </row>
    <row r="374" spans="1:6" x14ac:dyDescent="0.2">
      <c r="A374" s="33"/>
      <c r="B374" s="34"/>
      <c r="C374" s="35"/>
      <c r="D374" s="36"/>
      <c r="E374" s="37"/>
      <c r="F374" s="38"/>
    </row>
    <row r="375" spans="1:6" x14ac:dyDescent="0.2">
      <c r="A375" s="33"/>
      <c r="B375" s="34"/>
      <c r="C375" s="35"/>
      <c r="D375" s="36"/>
      <c r="E375" s="37"/>
      <c r="F375" s="38"/>
    </row>
    <row r="376" spans="1:6" x14ac:dyDescent="0.2">
      <c r="A376" s="33"/>
      <c r="B376" s="34"/>
      <c r="C376" s="35"/>
      <c r="D376" s="36"/>
      <c r="E376" s="37"/>
      <c r="F376" s="38"/>
    </row>
    <row r="377" spans="1:6" x14ac:dyDescent="0.2">
      <c r="A377" s="33"/>
      <c r="B377" s="34"/>
      <c r="C377" s="35"/>
      <c r="D377" s="36"/>
      <c r="E377" s="37"/>
      <c r="F377" s="38"/>
    </row>
    <row r="378" spans="1:6" x14ac:dyDescent="0.2">
      <c r="A378" s="33"/>
      <c r="B378" s="34"/>
      <c r="C378" s="35"/>
      <c r="D378" s="36"/>
      <c r="E378" s="37"/>
      <c r="F378" s="38"/>
    </row>
    <row r="379" spans="1:6" x14ac:dyDescent="0.2">
      <c r="A379" s="33"/>
      <c r="B379" s="34"/>
      <c r="C379" s="35"/>
      <c r="D379" s="36"/>
      <c r="E379" s="37"/>
      <c r="F379" s="38"/>
    </row>
    <row r="380" spans="1:6" x14ac:dyDescent="0.2">
      <c r="A380" s="33"/>
      <c r="B380" s="34"/>
      <c r="C380" s="35"/>
      <c r="D380" s="36"/>
      <c r="E380" s="37"/>
      <c r="F380" s="38"/>
    </row>
    <row r="381" spans="1:6" x14ac:dyDescent="0.2">
      <c r="A381" s="33"/>
      <c r="B381" s="34"/>
      <c r="C381" s="35"/>
      <c r="D381" s="36"/>
      <c r="E381" s="37"/>
      <c r="F381" s="38"/>
    </row>
    <row r="382" spans="1:6" x14ac:dyDescent="0.2">
      <c r="A382" s="33"/>
      <c r="B382" s="34"/>
      <c r="C382" s="35"/>
      <c r="D382" s="36"/>
      <c r="E382" s="37"/>
      <c r="F382" s="38"/>
    </row>
    <row r="383" spans="1:6" x14ac:dyDescent="0.2">
      <c r="A383" s="33"/>
      <c r="B383" s="34"/>
      <c r="C383" s="35"/>
      <c r="D383" s="36"/>
      <c r="E383" s="37"/>
      <c r="F383" s="38"/>
    </row>
    <row r="384" spans="1:6" x14ac:dyDescent="0.2">
      <c r="A384" s="33"/>
      <c r="B384" s="34"/>
      <c r="C384" s="35"/>
      <c r="D384" s="36"/>
      <c r="E384" s="37"/>
      <c r="F384" s="38"/>
    </row>
    <row r="385" spans="1:6" x14ac:dyDescent="0.2">
      <c r="A385" s="33"/>
      <c r="B385" s="34"/>
      <c r="C385" s="35"/>
      <c r="D385" s="36"/>
      <c r="E385" s="37"/>
      <c r="F385" s="38"/>
    </row>
    <row r="386" spans="1:6" x14ac:dyDescent="0.2">
      <c r="A386" s="33"/>
      <c r="B386" s="34"/>
      <c r="C386" s="35"/>
      <c r="D386" s="36"/>
      <c r="E386" s="37"/>
      <c r="F386" s="38"/>
    </row>
    <row r="387" spans="1:6" x14ac:dyDescent="0.2">
      <c r="A387" s="33"/>
      <c r="B387" s="34"/>
      <c r="C387" s="35"/>
      <c r="D387" s="36"/>
      <c r="E387" s="37"/>
      <c r="F387" s="38"/>
    </row>
    <row r="388" spans="1:6" x14ac:dyDescent="0.2">
      <c r="A388" s="33"/>
      <c r="B388" s="34"/>
      <c r="C388" s="35"/>
      <c r="D388" s="36"/>
      <c r="E388" s="37"/>
      <c r="F388" s="38"/>
    </row>
    <row r="389" spans="1:6" x14ac:dyDescent="0.2">
      <c r="A389" s="33"/>
      <c r="B389" s="34"/>
      <c r="C389" s="35"/>
      <c r="D389" s="36"/>
      <c r="E389" s="37"/>
      <c r="F389" s="38"/>
    </row>
    <row r="390" spans="1:6" x14ac:dyDescent="0.2">
      <c r="A390" s="33"/>
      <c r="B390" s="34"/>
      <c r="C390" s="35"/>
      <c r="D390" s="36"/>
      <c r="E390" s="37"/>
      <c r="F390" s="38"/>
    </row>
    <row r="391" spans="1:6" x14ac:dyDescent="0.2">
      <c r="A391" s="33"/>
      <c r="B391" s="34"/>
      <c r="C391" s="35"/>
      <c r="D391" s="36"/>
      <c r="E391" s="37"/>
      <c r="F391" s="38"/>
    </row>
    <row r="392" spans="1:6" x14ac:dyDescent="0.2">
      <c r="A392" s="33"/>
      <c r="B392" s="34"/>
      <c r="C392" s="35"/>
      <c r="D392" s="36"/>
      <c r="E392" s="37"/>
      <c r="F392" s="38"/>
    </row>
    <row r="393" spans="1:6" x14ac:dyDescent="0.2">
      <c r="A393" s="33"/>
      <c r="B393" s="34"/>
      <c r="C393" s="35"/>
      <c r="D393" s="36"/>
      <c r="E393" s="37"/>
      <c r="F393" s="38"/>
    </row>
    <row r="394" spans="1:6" x14ac:dyDescent="0.2">
      <c r="A394" s="33"/>
      <c r="B394" s="34"/>
      <c r="C394" s="35"/>
      <c r="D394" s="36"/>
      <c r="E394" s="37"/>
      <c r="F394" s="38"/>
    </row>
    <row r="395" spans="1:6" x14ac:dyDescent="0.2">
      <c r="A395" s="33"/>
      <c r="B395" s="34"/>
      <c r="C395" s="35"/>
      <c r="D395" s="36"/>
      <c r="E395" s="37"/>
      <c r="F395" s="38"/>
    </row>
    <row r="396" spans="1:6" x14ac:dyDescent="0.2">
      <c r="A396" s="33"/>
      <c r="B396" s="34"/>
      <c r="C396" s="35"/>
      <c r="D396" s="36"/>
      <c r="E396" s="37"/>
      <c r="F396" s="38"/>
    </row>
    <row r="397" spans="1:6" x14ac:dyDescent="0.2">
      <c r="A397" s="33"/>
      <c r="B397" s="34"/>
      <c r="C397" s="35"/>
      <c r="D397" s="36"/>
      <c r="E397" s="37"/>
      <c r="F397" s="38"/>
    </row>
    <row r="398" spans="1:6" x14ac:dyDescent="0.2">
      <c r="A398" s="33"/>
      <c r="B398" s="34"/>
      <c r="C398" s="35"/>
      <c r="D398" s="36"/>
      <c r="E398" s="37"/>
      <c r="F398" s="38"/>
    </row>
    <row r="399" spans="1:6" x14ac:dyDescent="0.2">
      <c r="A399" s="33"/>
      <c r="B399" s="34"/>
      <c r="C399" s="35"/>
      <c r="D399" s="36"/>
      <c r="E399" s="37"/>
      <c r="F399" s="38"/>
    </row>
    <row r="400" spans="1:6" x14ac:dyDescent="0.2">
      <c r="A400" s="33"/>
      <c r="B400" s="34"/>
      <c r="C400" s="35"/>
      <c r="D400" s="36"/>
      <c r="E400" s="37"/>
      <c r="F400" s="38"/>
    </row>
    <row r="401" spans="1:6" x14ac:dyDescent="0.2">
      <c r="A401" s="33"/>
      <c r="B401" s="34"/>
      <c r="C401" s="35"/>
      <c r="D401" s="36"/>
      <c r="E401" s="37"/>
      <c r="F401" s="38"/>
    </row>
    <row r="402" spans="1:6" x14ac:dyDescent="0.2">
      <c r="A402" s="33"/>
      <c r="B402" s="34"/>
      <c r="C402" s="35"/>
      <c r="D402" s="36"/>
      <c r="E402" s="37"/>
      <c r="F402" s="38"/>
    </row>
    <row r="403" spans="1:6" x14ac:dyDescent="0.2">
      <c r="A403" s="33"/>
      <c r="B403" s="34"/>
      <c r="C403" s="35"/>
      <c r="D403" s="36"/>
      <c r="E403" s="37"/>
      <c r="F403" s="38"/>
    </row>
    <row r="404" spans="1:6" x14ac:dyDescent="0.2">
      <c r="A404" s="33"/>
      <c r="B404" s="34"/>
      <c r="C404" s="35"/>
      <c r="D404" s="36"/>
      <c r="E404" s="37"/>
      <c r="F404" s="38"/>
    </row>
    <row r="405" spans="1:6" x14ac:dyDescent="0.2">
      <c r="A405" s="33"/>
      <c r="B405" s="34"/>
      <c r="C405" s="35"/>
      <c r="D405" s="36"/>
      <c r="E405" s="37"/>
      <c r="F405" s="38"/>
    </row>
    <row r="406" spans="1:6" x14ac:dyDescent="0.2">
      <c r="A406" s="33"/>
      <c r="B406" s="34"/>
      <c r="C406" s="35"/>
      <c r="D406" s="36"/>
      <c r="E406" s="37"/>
      <c r="F406" s="38"/>
    </row>
    <row r="407" spans="1:6" x14ac:dyDescent="0.2">
      <c r="A407" s="33"/>
      <c r="B407" s="34"/>
      <c r="C407" s="35"/>
      <c r="D407" s="36"/>
      <c r="E407" s="37"/>
      <c r="F407" s="38"/>
    </row>
    <row r="408" spans="1:6" x14ac:dyDescent="0.2">
      <c r="A408" s="33"/>
      <c r="B408" s="34"/>
      <c r="C408" s="35"/>
      <c r="D408" s="36"/>
      <c r="E408" s="37"/>
      <c r="F408" s="38"/>
    </row>
    <row r="409" spans="1:6" x14ac:dyDescent="0.2">
      <c r="A409" s="33"/>
      <c r="B409" s="34"/>
      <c r="C409" s="35"/>
      <c r="D409" s="36"/>
      <c r="E409" s="37"/>
      <c r="F409" s="38"/>
    </row>
    <row r="410" spans="1:6" x14ac:dyDescent="0.2">
      <c r="A410" s="33"/>
      <c r="B410" s="34"/>
      <c r="C410" s="35"/>
      <c r="D410" s="36"/>
      <c r="E410" s="37"/>
      <c r="F410" s="38"/>
    </row>
    <row r="411" spans="1:6" x14ac:dyDescent="0.2">
      <c r="A411" s="33"/>
      <c r="B411" s="34"/>
      <c r="C411" s="35"/>
      <c r="D411" s="36"/>
      <c r="E411" s="37"/>
      <c r="F411" s="38"/>
    </row>
    <row r="412" spans="1:6" x14ac:dyDescent="0.2">
      <c r="A412" s="33"/>
      <c r="B412" s="34"/>
      <c r="C412" s="35"/>
      <c r="D412" s="36"/>
      <c r="E412" s="37"/>
      <c r="F412" s="38"/>
    </row>
    <row r="413" spans="1:6" x14ac:dyDescent="0.2">
      <c r="A413" s="33"/>
      <c r="B413" s="34"/>
      <c r="C413" s="35"/>
      <c r="D413" s="36"/>
      <c r="E413" s="37"/>
      <c r="F413" s="38"/>
    </row>
    <row r="414" spans="1:6" x14ac:dyDescent="0.2">
      <c r="A414" s="33"/>
      <c r="B414" s="34"/>
      <c r="C414" s="35"/>
      <c r="D414" s="36"/>
      <c r="E414" s="37"/>
      <c r="F414" s="38"/>
    </row>
    <row r="415" spans="1:6" x14ac:dyDescent="0.2">
      <c r="A415" s="33"/>
      <c r="B415" s="34"/>
      <c r="C415" s="35"/>
      <c r="D415" s="36"/>
      <c r="E415" s="37"/>
      <c r="F415" s="38"/>
    </row>
    <row r="416" spans="1:6" x14ac:dyDescent="0.2">
      <c r="A416" s="33"/>
      <c r="B416" s="34"/>
      <c r="C416" s="35"/>
      <c r="D416" s="36"/>
      <c r="E416" s="37"/>
      <c r="F416" s="38"/>
    </row>
    <row r="417" spans="1:6" x14ac:dyDescent="0.2">
      <c r="A417" s="33"/>
      <c r="B417" s="34"/>
      <c r="C417" s="35"/>
      <c r="D417" s="36"/>
      <c r="E417" s="37"/>
      <c r="F417" s="38"/>
    </row>
    <row r="418" spans="1:6" x14ac:dyDescent="0.2">
      <c r="A418" s="33"/>
      <c r="B418" s="34"/>
      <c r="C418" s="35"/>
      <c r="D418" s="36"/>
      <c r="E418" s="37"/>
      <c r="F418" s="38"/>
    </row>
    <row r="419" spans="1:6" x14ac:dyDescent="0.2">
      <c r="A419" s="33"/>
      <c r="B419" s="34"/>
      <c r="C419" s="35"/>
      <c r="D419" s="36"/>
      <c r="E419" s="37"/>
      <c r="F419" s="38"/>
    </row>
    <row r="420" spans="1:6" x14ac:dyDescent="0.2">
      <c r="A420" s="33"/>
      <c r="B420" s="34"/>
      <c r="C420" s="35"/>
      <c r="D420" s="36"/>
      <c r="E420" s="37"/>
      <c r="F420" s="38"/>
    </row>
    <row r="421" spans="1:6" x14ac:dyDescent="0.2">
      <c r="A421" s="33"/>
      <c r="B421" s="34"/>
      <c r="C421" s="35"/>
      <c r="D421" s="36"/>
      <c r="E421" s="37"/>
      <c r="F421" s="38"/>
    </row>
    <row r="422" spans="1:6" x14ac:dyDescent="0.2">
      <c r="A422" s="33"/>
      <c r="B422" s="34"/>
      <c r="C422" s="35"/>
      <c r="D422" s="36"/>
      <c r="E422" s="37"/>
      <c r="F422" s="38"/>
    </row>
    <row r="423" spans="1:6" x14ac:dyDescent="0.2">
      <c r="A423" s="33"/>
      <c r="B423" s="34"/>
      <c r="C423" s="35"/>
      <c r="D423" s="36"/>
      <c r="E423" s="37"/>
      <c r="F423" s="38"/>
    </row>
    <row r="424" spans="1:6" x14ac:dyDescent="0.2">
      <c r="A424" s="33"/>
      <c r="B424" s="34"/>
      <c r="C424" s="35"/>
      <c r="D424" s="36"/>
      <c r="E424" s="37"/>
      <c r="F424" s="38"/>
    </row>
    <row r="425" spans="1:6" x14ac:dyDescent="0.2">
      <c r="A425" s="33"/>
      <c r="B425" s="34"/>
      <c r="C425" s="35"/>
      <c r="D425" s="36"/>
      <c r="E425" s="37"/>
      <c r="F425" s="38"/>
    </row>
    <row r="426" spans="1:6" x14ac:dyDescent="0.2">
      <c r="A426" s="33"/>
      <c r="B426" s="34"/>
      <c r="C426" s="35"/>
      <c r="D426" s="36"/>
      <c r="E426" s="37"/>
      <c r="F426" s="38"/>
    </row>
    <row r="427" spans="1:6" x14ac:dyDescent="0.2">
      <c r="A427" s="33"/>
      <c r="B427" s="34"/>
      <c r="C427" s="35"/>
      <c r="D427" s="36"/>
      <c r="E427" s="37"/>
      <c r="F427" s="38"/>
    </row>
    <row r="428" spans="1:6" x14ac:dyDescent="0.2">
      <c r="A428" s="33"/>
      <c r="B428" s="34"/>
      <c r="C428" s="35"/>
      <c r="D428" s="36"/>
      <c r="E428" s="37"/>
      <c r="F428" s="38"/>
    </row>
    <row r="429" spans="1:6" x14ac:dyDescent="0.2">
      <c r="A429" s="33"/>
      <c r="B429" s="34"/>
      <c r="C429" s="35"/>
      <c r="D429" s="36"/>
      <c r="E429" s="37"/>
      <c r="F429" s="38"/>
    </row>
    <row r="430" spans="1:6" x14ac:dyDescent="0.2">
      <c r="A430" s="33"/>
      <c r="B430" s="34"/>
      <c r="C430" s="35"/>
      <c r="D430" s="36"/>
      <c r="E430" s="37"/>
      <c r="F430" s="38"/>
    </row>
    <row r="431" spans="1:6" x14ac:dyDescent="0.2">
      <c r="A431" s="33"/>
      <c r="B431" s="34"/>
      <c r="C431" s="35"/>
      <c r="D431" s="36"/>
      <c r="E431" s="37"/>
      <c r="F431" s="38"/>
    </row>
    <row r="432" spans="1:6" x14ac:dyDescent="0.2">
      <c r="A432" s="33"/>
      <c r="B432" s="34"/>
      <c r="C432" s="35"/>
      <c r="D432" s="36"/>
      <c r="E432" s="37"/>
      <c r="F432" s="38"/>
    </row>
    <row r="433" spans="1:6" x14ac:dyDescent="0.2">
      <c r="A433" s="33"/>
      <c r="B433" s="34"/>
      <c r="C433" s="35"/>
      <c r="D433" s="36"/>
      <c r="E433" s="37"/>
      <c r="F433" s="38"/>
    </row>
    <row r="434" spans="1:6" x14ac:dyDescent="0.2">
      <c r="A434" s="33"/>
      <c r="B434" s="34"/>
      <c r="C434" s="35"/>
      <c r="D434" s="36"/>
      <c r="E434" s="37"/>
      <c r="F434" s="38"/>
    </row>
    <row r="435" spans="1:6" x14ac:dyDescent="0.2">
      <c r="A435" s="33"/>
      <c r="B435" s="34"/>
      <c r="C435" s="35"/>
      <c r="D435" s="36"/>
      <c r="E435" s="37"/>
      <c r="F435" s="38"/>
    </row>
    <row r="436" spans="1:6" x14ac:dyDescent="0.2">
      <c r="A436" s="33"/>
      <c r="B436" s="34"/>
      <c r="C436" s="35"/>
      <c r="D436" s="36"/>
      <c r="E436" s="37"/>
      <c r="F436" s="38"/>
    </row>
    <row r="437" spans="1:6" x14ac:dyDescent="0.2">
      <c r="A437" s="33"/>
      <c r="B437" s="34"/>
      <c r="C437" s="35"/>
      <c r="D437" s="36"/>
      <c r="E437" s="37"/>
      <c r="F437" s="38"/>
    </row>
    <row r="438" spans="1:6" x14ac:dyDescent="0.2">
      <c r="A438" s="33"/>
      <c r="B438" s="34"/>
      <c r="C438" s="35"/>
      <c r="D438" s="36"/>
      <c r="E438" s="37"/>
      <c r="F438" s="38"/>
    </row>
    <row r="439" spans="1:6" x14ac:dyDescent="0.2">
      <c r="A439" s="33"/>
      <c r="B439" s="34"/>
      <c r="C439" s="35"/>
      <c r="D439" s="36"/>
      <c r="E439" s="37"/>
      <c r="F439" s="38"/>
    </row>
    <row r="440" spans="1:6" x14ac:dyDescent="0.2">
      <c r="A440" s="33"/>
      <c r="B440" s="34"/>
      <c r="C440" s="35"/>
      <c r="D440" s="36"/>
      <c r="E440" s="37"/>
      <c r="F440" s="38"/>
    </row>
    <row r="441" spans="1:6" x14ac:dyDescent="0.2">
      <c r="A441" s="33"/>
      <c r="B441" s="34"/>
      <c r="C441" s="35"/>
      <c r="D441" s="36"/>
      <c r="E441" s="37"/>
      <c r="F441" s="38"/>
    </row>
    <row r="442" spans="1:6" x14ac:dyDescent="0.2">
      <c r="A442" s="33"/>
      <c r="B442" s="34"/>
      <c r="C442" s="35"/>
      <c r="D442" s="36"/>
      <c r="E442" s="37"/>
      <c r="F442" s="38"/>
    </row>
    <row r="443" spans="1:6" x14ac:dyDescent="0.2">
      <c r="A443" s="33"/>
      <c r="B443" s="34"/>
      <c r="C443" s="35"/>
      <c r="D443" s="36"/>
      <c r="E443" s="37"/>
      <c r="F443" s="38"/>
    </row>
    <row r="444" spans="1:6" x14ac:dyDescent="0.2">
      <c r="A444" s="33"/>
      <c r="B444" s="34"/>
      <c r="C444" s="35"/>
      <c r="D444" s="36"/>
      <c r="E444" s="37"/>
      <c r="F444" s="38"/>
    </row>
    <row r="445" spans="1:6" x14ac:dyDescent="0.2">
      <c r="A445" s="33"/>
      <c r="B445" s="34"/>
      <c r="C445" s="35"/>
      <c r="D445" s="36"/>
      <c r="E445" s="37"/>
      <c r="F445" s="38"/>
    </row>
    <row r="446" spans="1:6" x14ac:dyDescent="0.2">
      <c r="A446" s="33"/>
      <c r="B446" s="34"/>
      <c r="C446" s="35"/>
      <c r="D446" s="36"/>
      <c r="E446" s="37"/>
      <c r="F446" s="38"/>
    </row>
    <row r="447" spans="1:6" x14ac:dyDescent="0.2">
      <c r="A447" s="33"/>
      <c r="B447" s="34"/>
      <c r="C447" s="35"/>
      <c r="D447" s="36"/>
      <c r="E447" s="37"/>
      <c r="F447" s="38"/>
    </row>
    <row r="448" spans="1:6" x14ac:dyDescent="0.2">
      <c r="A448" s="33"/>
      <c r="B448" s="34"/>
      <c r="C448" s="35"/>
      <c r="D448" s="36"/>
      <c r="E448" s="37"/>
      <c r="F448" s="38"/>
    </row>
    <row r="449" spans="1:6" x14ac:dyDescent="0.2">
      <c r="A449" s="33"/>
      <c r="B449" s="34"/>
      <c r="C449" s="35"/>
      <c r="D449" s="36"/>
      <c r="E449" s="37"/>
      <c r="F449" s="38"/>
    </row>
    <row r="450" spans="1:6" x14ac:dyDescent="0.2">
      <c r="A450" s="33"/>
      <c r="B450" s="34"/>
      <c r="C450" s="35"/>
      <c r="D450" s="36"/>
      <c r="E450" s="37"/>
      <c r="F450" s="38"/>
    </row>
    <row r="451" spans="1:6" x14ac:dyDescent="0.2">
      <c r="A451" s="33"/>
      <c r="B451" s="34"/>
      <c r="C451" s="35"/>
      <c r="D451" s="36"/>
      <c r="E451" s="37"/>
      <c r="F451" s="38"/>
    </row>
    <row r="452" spans="1:6" x14ac:dyDescent="0.2">
      <c r="A452" s="33"/>
      <c r="B452" s="34"/>
      <c r="C452" s="35"/>
      <c r="D452" s="36"/>
      <c r="E452" s="37"/>
      <c r="F452" s="38"/>
    </row>
    <row r="453" spans="1:6" x14ac:dyDescent="0.2">
      <c r="A453" s="33"/>
      <c r="B453" s="34"/>
      <c r="C453" s="35"/>
      <c r="D453" s="36"/>
      <c r="E453" s="37"/>
      <c r="F453" s="38"/>
    </row>
    <row r="454" spans="1:6" x14ac:dyDescent="0.2">
      <c r="A454" s="33"/>
      <c r="B454" s="34"/>
      <c r="C454" s="35"/>
      <c r="D454" s="36"/>
      <c r="E454" s="37"/>
      <c r="F454" s="38"/>
    </row>
    <row r="455" spans="1:6" x14ac:dyDescent="0.2">
      <c r="A455" s="33"/>
      <c r="B455" s="34"/>
      <c r="C455" s="35"/>
      <c r="D455" s="36"/>
      <c r="E455" s="37"/>
      <c r="F455" s="38"/>
    </row>
    <row r="456" spans="1:6" x14ac:dyDescent="0.2">
      <c r="A456" s="33"/>
      <c r="B456" s="34"/>
      <c r="C456" s="35"/>
      <c r="D456" s="36"/>
      <c r="E456" s="37"/>
      <c r="F456" s="38"/>
    </row>
    <row r="457" spans="1:6" x14ac:dyDescent="0.2">
      <c r="A457" s="33"/>
      <c r="B457" s="34"/>
      <c r="C457" s="35"/>
      <c r="D457" s="36"/>
      <c r="E457" s="37"/>
      <c r="F457" s="38"/>
    </row>
    <row r="458" spans="1:6" x14ac:dyDescent="0.2">
      <c r="A458" s="33"/>
      <c r="B458" s="34"/>
      <c r="C458" s="35"/>
      <c r="D458" s="36"/>
      <c r="E458" s="37"/>
      <c r="F458" s="38"/>
    </row>
    <row r="459" spans="1:6" x14ac:dyDescent="0.2">
      <c r="A459" s="33"/>
      <c r="B459" s="34"/>
      <c r="C459" s="35"/>
      <c r="D459" s="36"/>
      <c r="E459" s="37"/>
      <c r="F459" s="38"/>
    </row>
    <row r="460" spans="1:6" x14ac:dyDescent="0.2">
      <c r="A460" s="33"/>
      <c r="B460" s="34"/>
      <c r="C460" s="35"/>
      <c r="D460" s="36"/>
      <c r="E460" s="37"/>
      <c r="F460" s="38"/>
    </row>
    <row r="461" spans="1:6" x14ac:dyDescent="0.2">
      <c r="A461" s="33"/>
      <c r="B461" s="34"/>
      <c r="C461" s="35"/>
      <c r="D461" s="36"/>
      <c r="E461" s="37"/>
      <c r="F461" s="38"/>
    </row>
    <row r="462" spans="1:6" x14ac:dyDescent="0.2">
      <c r="A462" s="33"/>
      <c r="B462" s="34"/>
      <c r="C462" s="35"/>
      <c r="D462" s="36"/>
      <c r="E462" s="37"/>
      <c r="F462" s="38"/>
    </row>
    <row r="463" spans="1:6" x14ac:dyDescent="0.2">
      <c r="A463" s="33"/>
      <c r="B463" s="34"/>
      <c r="C463" s="35"/>
      <c r="D463" s="36"/>
      <c r="E463" s="37"/>
      <c r="F463" s="38"/>
    </row>
    <row r="464" spans="1:6" x14ac:dyDescent="0.2">
      <c r="A464" s="33"/>
      <c r="B464" s="34"/>
      <c r="C464" s="35"/>
      <c r="D464" s="36"/>
      <c r="E464" s="37"/>
      <c r="F464" s="38"/>
    </row>
    <row r="465" spans="1:6" x14ac:dyDescent="0.2">
      <c r="A465" s="33"/>
      <c r="B465" s="34"/>
      <c r="C465" s="35"/>
      <c r="D465" s="36"/>
      <c r="E465" s="37"/>
      <c r="F465" s="38"/>
    </row>
    <row r="466" spans="1:6" x14ac:dyDescent="0.2">
      <c r="A466" s="33"/>
      <c r="B466" s="34"/>
      <c r="C466" s="35"/>
      <c r="D466" s="36"/>
      <c r="E466" s="37"/>
      <c r="F466" s="38"/>
    </row>
    <row r="467" spans="1:6" x14ac:dyDescent="0.2">
      <c r="A467" s="33"/>
      <c r="B467" s="34"/>
      <c r="C467" s="35"/>
      <c r="D467" s="36"/>
      <c r="E467" s="37"/>
      <c r="F467" s="38"/>
    </row>
    <row r="468" spans="1:6" x14ac:dyDescent="0.2">
      <c r="A468" s="33"/>
      <c r="B468" s="34"/>
      <c r="C468" s="35"/>
      <c r="D468" s="36"/>
      <c r="E468" s="37"/>
      <c r="F468" s="38"/>
    </row>
    <row r="469" spans="1:6" x14ac:dyDescent="0.2">
      <c r="A469" s="33"/>
      <c r="B469" s="34"/>
      <c r="C469" s="35"/>
      <c r="D469" s="36"/>
      <c r="E469" s="37"/>
      <c r="F469" s="38"/>
    </row>
    <row r="470" spans="1:6" x14ac:dyDescent="0.2">
      <c r="A470" s="33"/>
      <c r="B470" s="34"/>
      <c r="C470" s="35"/>
      <c r="D470" s="36"/>
      <c r="E470" s="37"/>
      <c r="F470" s="38"/>
    </row>
    <row r="471" spans="1:6" x14ac:dyDescent="0.2">
      <c r="A471" s="33"/>
      <c r="B471" s="34"/>
      <c r="C471" s="35"/>
      <c r="D471" s="36"/>
      <c r="E471" s="37"/>
      <c r="F471" s="38"/>
    </row>
    <row r="472" spans="1:6" x14ac:dyDescent="0.2">
      <c r="A472" s="33"/>
      <c r="B472" s="34"/>
      <c r="C472" s="35"/>
      <c r="D472" s="36"/>
      <c r="E472" s="37"/>
      <c r="F472" s="38"/>
    </row>
    <row r="473" spans="1:6" x14ac:dyDescent="0.2">
      <c r="A473" s="33"/>
      <c r="B473" s="34"/>
      <c r="C473" s="35"/>
      <c r="D473" s="36"/>
      <c r="E473" s="37"/>
      <c r="F473" s="38"/>
    </row>
    <row r="474" spans="1:6" x14ac:dyDescent="0.2">
      <c r="A474" s="33"/>
      <c r="B474" s="34"/>
      <c r="C474" s="35"/>
      <c r="D474" s="36"/>
      <c r="E474" s="37"/>
      <c r="F474" s="38"/>
    </row>
    <row r="475" spans="1:6" x14ac:dyDescent="0.2">
      <c r="A475" s="33"/>
      <c r="B475" s="34"/>
      <c r="C475" s="35"/>
      <c r="D475" s="36"/>
      <c r="E475" s="37"/>
      <c r="F475" s="38"/>
    </row>
    <row r="476" spans="1:6" x14ac:dyDescent="0.2">
      <c r="A476" s="33"/>
      <c r="B476" s="34"/>
      <c r="C476" s="35"/>
      <c r="D476" s="36"/>
      <c r="E476" s="37"/>
      <c r="F476" s="38"/>
    </row>
    <row r="477" spans="1:6" x14ac:dyDescent="0.2">
      <c r="A477" s="33"/>
      <c r="B477" s="34"/>
      <c r="C477" s="35"/>
      <c r="D477" s="36"/>
      <c r="E477" s="37"/>
      <c r="F477" s="38"/>
    </row>
    <row r="478" spans="1:6" x14ac:dyDescent="0.2">
      <c r="A478" s="33"/>
      <c r="B478" s="34"/>
      <c r="C478" s="35"/>
      <c r="D478" s="36"/>
      <c r="E478" s="37"/>
      <c r="F478" s="38"/>
    </row>
    <row r="479" spans="1:6" x14ac:dyDescent="0.2">
      <c r="A479" s="33"/>
      <c r="B479" s="34"/>
      <c r="C479" s="35"/>
      <c r="D479" s="36"/>
      <c r="E479" s="37"/>
      <c r="F479" s="38"/>
    </row>
    <row r="480" spans="1:6" x14ac:dyDescent="0.2">
      <c r="A480" s="33"/>
      <c r="B480" s="34"/>
      <c r="C480" s="35"/>
      <c r="D480" s="36"/>
      <c r="E480" s="37"/>
      <c r="F480" s="38"/>
    </row>
    <row r="481" spans="1:6" x14ac:dyDescent="0.2">
      <c r="A481" s="33"/>
      <c r="B481" s="34"/>
      <c r="C481" s="35"/>
      <c r="D481" s="36"/>
      <c r="E481" s="37"/>
      <c r="F481" s="38"/>
    </row>
    <row r="482" spans="1:6" x14ac:dyDescent="0.2">
      <c r="A482" s="33"/>
      <c r="B482" s="34"/>
      <c r="C482" s="35"/>
      <c r="D482" s="36"/>
      <c r="E482" s="37"/>
      <c r="F482" s="38"/>
    </row>
    <row r="483" spans="1:6" x14ac:dyDescent="0.2">
      <c r="A483" s="33"/>
      <c r="B483" s="34"/>
      <c r="C483" s="35"/>
      <c r="D483" s="36"/>
      <c r="E483" s="37"/>
      <c r="F483" s="38"/>
    </row>
    <row r="484" spans="1:6" x14ac:dyDescent="0.2">
      <c r="A484" s="33"/>
      <c r="B484" s="34"/>
      <c r="C484" s="35"/>
      <c r="D484" s="36"/>
      <c r="E484" s="37"/>
      <c r="F484" s="38"/>
    </row>
    <row r="485" spans="1:6" x14ac:dyDescent="0.2">
      <c r="A485" s="33"/>
      <c r="B485" s="34"/>
      <c r="C485" s="35"/>
      <c r="D485" s="36"/>
      <c r="E485" s="37"/>
      <c r="F485" s="38"/>
    </row>
    <row r="486" spans="1:6" x14ac:dyDescent="0.2">
      <c r="A486" s="33"/>
      <c r="B486" s="34"/>
      <c r="C486" s="35"/>
      <c r="D486" s="36"/>
      <c r="E486" s="37"/>
      <c r="F486" s="38"/>
    </row>
    <row r="487" spans="1:6" x14ac:dyDescent="0.2">
      <c r="A487" s="33"/>
      <c r="B487" s="34"/>
      <c r="C487" s="35"/>
      <c r="D487" s="36"/>
      <c r="E487" s="37"/>
      <c r="F487" s="38"/>
    </row>
    <row r="488" spans="1:6" x14ac:dyDescent="0.2">
      <c r="A488" s="33"/>
      <c r="B488" s="34"/>
      <c r="C488" s="35"/>
      <c r="D488" s="36"/>
      <c r="E488" s="37"/>
      <c r="F488" s="38"/>
    </row>
    <row r="489" spans="1:6" x14ac:dyDescent="0.2">
      <c r="A489" s="33"/>
      <c r="B489" s="34"/>
      <c r="C489" s="35"/>
      <c r="D489" s="36"/>
      <c r="E489" s="37"/>
      <c r="F489" s="38"/>
    </row>
    <row r="490" spans="1:6" x14ac:dyDescent="0.2">
      <c r="A490" s="33"/>
      <c r="B490" s="34"/>
      <c r="C490" s="35"/>
      <c r="D490" s="36"/>
      <c r="E490" s="37"/>
      <c r="F490" s="38"/>
    </row>
    <row r="491" spans="1:6" x14ac:dyDescent="0.2">
      <c r="A491" s="33"/>
      <c r="B491" s="34"/>
      <c r="C491" s="35"/>
      <c r="D491" s="36"/>
      <c r="E491" s="37"/>
      <c r="F491" s="38"/>
    </row>
    <row r="492" spans="1:6" x14ac:dyDescent="0.2">
      <c r="A492" s="33"/>
      <c r="B492" s="34"/>
      <c r="C492" s="35"/>
      <c r="D492" s="36"/>
      <c r="E492" s="37"/>
      <c r="F492" s="38"/>
    </row>
    <row r="493" spans="1:6" x14ac:dyDescent="0.2">
      <c r="A493" s="33"/>
      <c r="B493" s="34"/>
      <c r="C493" s="35"/>
      <c r="D493" s="36"/>
      <c r="E493" s="37"/>
      <c r="F493" s="38"/>
    </row>
    <row r="494" spans="1:6" x14ac:dyDescent="0.2">
      <c r="A494" s="33"/>
      <c r="B494" s="34"/>
      <c r="C494" s="35"/>
      <c r="D494" s="36"/>
      <c r="E494" s="37"/>
      <c r="F494" s="38"/>
    </row>
    <row r="495" spans="1:6" x14ac:dyDescent="0.2">
      <c r="A495" s="33"/>
      <c r="B495" s="34"/>
      <c r="C495" s="35"/>
      <c r="D495" s="36"/>
      <c r="E495" s="37"/>
      <c r="F495" s="38"/>
    </row>
    <row r="496" spans="1:6" x14ac:dyDescent="0.2">
      <c r="A496" s="33"/>
      <c r="B496" s="34"/>
      <c r="C496" s="35"/>
      <c r="D496" s="36"/>
      <c r="E496" s="37"/>
      <c r="F496" s="38"/>
    </row>
    <row r="497" spans="1:6" x14ac:dyDescent="0.2">
      <c r="A497" s="33"/>
      <c r="B497" s="34"/>
      <c r="C497" s="35"/>
      <c r="D497" s="36"/>
      <c r="E497" s="37"/>
      <c r="F497" s="38"/>
    </row>
    <row r="498" spans="1:6" x14ac:dyDescent="0.2">
      <c r="A498" s="33"/>
      <c r="B498" s="34"/>
      <c r="C498" s="35"/>
      <c r="D498" s="36"/>
      <c r="E498" s="37"/>
      <c r="F498" s="38"/>
    </row>
    <row r="499" spans="1:6" x14ac:dyDescent="0.2">
      <c r="A499" s="33"/>
      <c r="B499" s="34"/>
      <c r="C499" s="35"/>
      <c r="D499" s="36"/>
      <c r="E499" s="37"/>
      <c r="F499" s="38"/>
    </row>
    <row r="500" spans="1:6" x14ac:dyDescent="0.2">
      <c r="A500" s="33"/>
      <c r="B500" s="34"/>
      <c r="C500" s="35"/>
      <c r="D500" s="36"/>
      <c r="E500" s="37"/>
      <c r="F500" s="38"/>
    </row>
    <row r="501" spans="1:6" x14ac:dyDescent="0.2">
      <c r="A501" s="33"/>
      <c r="B501" s="34"/>
      <c r="C501" s="35"/>
      <c r="D501" s="36"/>
      <c r="E501" s="37"/>
      <c r="F501" s="38"/>
    </row>
    <row r="502" spans="1:6" x14ac:dyDescent="0.2">
      <c r="A502" s="33"/>
      <c r="B502" s="34"/>
      <c r="C502" s="35"/>
      <c r="D502" s="36"/>
      <c r="E502" s="37"/>
      <c r="F502" s="38"/>
    </row>
    <row r="503" spans="1:6" x14ac:dyDescent="0.2">
      <c r="A503" s="33"/>
      <c r="B503" s="34"/>
      <c r="C503" s="35"/>
      <c r="D503" s="36"/>
      <c r="E503" s="37"/>
      <c r="F503" s="38"/>
    </row>
    <row r="504" spans="1:6" x14ac:dyDescent="0.2">
      <c r="A504" s="33"/>
      <c r="B504" s="34"/>
      <c r="C504" s="35"/>
      <c r="D504" s="36"/>
      <c r="E504" s="37"/>
      <c r="F504" s="38"/>
    </row>
    <row r="505" spans="1:6" x14ac:dyDescent="0.2">
      <c r="A505" s="33"/>
      <c r="B505" s="34"/>
      <c r="C505" s="35"/>
      <c r="D505" s="36"/>
      <c r="E505" s="37"/>
      <c r="F505" s="38"/>
    </row>
    <row r="506" spans="1:6" x14ac:dyDescent="0.2">
      <c r="A506" s="33"/>
      <c r="B506" s="34"/>
      <c r="C506" s="35"/>
      <c r="D506" s="36"/>
      <c r="E506" s="37"/>
      <c r="F506" s="38"/>
    </row>
    <row r="507" spans="1:6" x14ac:dyDescent="0.2">
      <c r="A507" s="33"/>
      <c r="B507" s="34"/>
      <c r="C507" s="35"/>
      <c r="D507" s="36"/>
      <c r="E507" s="37"/>
      <c r="F507" s="38"/>
    </row>
    <row r="508" spans="1:6" x14ac:dyDescent="0.2">
      <c r="A508" s="33"/>
      <c r="B508" s="34"/>
      <c r="C508" s="35"/>
      <c r="D508" s="36"/>
      <c r="E508" s="37"/>
      <c r="F508" s="38"/>
    </row>
    <row r="509" spans="1:6" x14ac:dyDescent="0.2">
      <c r="A509" s="33"/>
      <c r="B509" s="34"/>
      <c r="C509" s="35"/>
      <c r="D509" s="36"/>
      <c r="E509" s="37"/>
      <c r="F509" s="38"/>
    </row>
    <row r="510" spans="1:6" x14ac:dyDescent="0.2">
      <c r="A510" s="33"/>
      <c r="B510" s="34"/>
      <c r="C510" s="35"/>
      <c r="D510" s="36"/>
      <c r="E510" s="37"/>
      <c r="F510" s="38"/>
    </row>
    <row r="511" spans="1:6" x14ac:dyDescent="0.2">
      <c r="A511" s="33"/>
      <c r="B511" s="34"/>
      <c r="C511" s="35"/>
      <c r="D511" s="36"/>
      <c r="E511" s="37"/>
      <c r="F511" s="38"/>
    </row>
    <row r="512" spans="1:6" x14ac:dyDescent="0.2">
      <c r="A512" s="33"/>
      <c r="B512" s="34"/>
      <c r="C512" s="35"/>
      <c r="D512" s="36"/>
      <c r="E512" s="37"/>
      <c r="F512" s="38"/>
    </row>
    <row r="513" spans="1:6" x14ac:dyDescent="0.2">
      <c r="A513" s="33"/>
      <c r="B513" s="34"/>
      <c r="C513" s="35"/>
      <c r="D513" s="36"/>
      <c r="E513" s="37"/>
      <c r="F513" s="38"/>
    </row>
    <row r="514" spans="1:6" x14ac:dyDescent="0.2">
      <c r="A514" s="33"/>
      <c r="B514" s="34"/>
      <c r="C514" s="35"/>
      <c r="D514" s="36"/>
      <c r="E514" s="37"/>
      <c r="F514" s="38"/>
    </row>
    <row r="515" spans="1:6" x14ac:dyDescent="0.2">
      <c r="A515" s="33"/>
      <c r="B515" s="34"/>
      <c r="C515" s="35"/>
      <c r="D515" s="36"/>
      <c r="E515" s="37"/>
      <c r="F515" s="38"/>
    </row>
    <row r="516" spans="1:6" x14ac:dyDescent="0.2">
      <c r="A516" s="33"/>
      <c r="B516" s="34"/>
      <c r="C516" s="35"/>
      <c r="D516" s="36"/>
      <c r="E516" s="37"/>
      <c r="F516" s="38"/>
    </row>
    <row r="517" spans="1:6" x14ac:dyDescent="0.2">
      <c r="A517" s="33"/>
      <c r="B517" s="34"/>
      <c r="C517" s="35"/>
      <c r="D517" s="36"/>
      <c r="E517" s="37"/>
      <c r="F517" s="38"/>
    </row>
    <row r="518" spans="1:6" x14ac:dyDescent="0.2">
      <c r="A518" s="33"/>
      <c r="B518" s="34"/>
      <c r="C518" s="35"/>
      <c r="D518" s="36"/>
      <c r="E518" s="37"/>
      <c r="F518" s="38"/>
    </row>
    <row r="519" spans="1:6" x14ac:dyDescent="0.2">
      <c r="A519" s="33"/>
      <c r="B519" s="34"/>
      <c r="C519" s="35"/>
      <c r="D519" s="36"/>
      <c r="E519" s="37"/>
      <c r="F519" s="38"/>
    </row>
    <row r="520" spans="1:6" x14ac:dyDescent="0.2">
      <c r="A520" s="33"/>
      <c r="B520" s="34"/>
      <c r="C520" s="35"/>
      <c r="D520" s="36"/>
      <c r="E520" s="37"/>
      <c r="F520" s="38"/>
    </row>
    <row r="521" spans="1:6" x14ac:dyDescent="0.2">
      <c r="A521" s="33"/>
      <c r="B521" s="34"/>
      <c r="C521" s="35"/>
      <c r="D521" s="36"/>
      <c r="E521" s="37"/>
      <c r="F521" s="38"/>
    </row>
    <row r="522" spans="1:6" x14ac:dyDescent="0.2">
      <c r="A522" s="33"/>
      <c r="B522" s="34"/>
      <c r="C522" s="35"/>
      <c r="D522" s="36"/>
      <c r="E522" s="37"/>
      <c r="F522" s="38"/>
    </row>
    <row r="523" spans="1:6" x14ac:dyDescent="0.2">
      <c r="A523" s="33"/>
      <c r="B523" s="34"/>
      <c r="C523" s="35"/>
      <c r="D523" s="36"/>
      <c r="E523" s="37"/>
      <c r="F523" s="38"/>
    </row>
    <row r="524" spans="1:6" x14ac:dyDescent="0.2">
      <c r="A524" s="33"/>
      <c r="B524" s="34"/>
      <c r="C524" s="35"/>
      <c r="D524" s="36"/>
      <c r="E524" s="37"/>
      <c r="F524" s="38"/>
    </row>
    <row r="525" spans="1:6" x14ac:dyDescent="0.2">
      <c r="A525" s="33"/>
      <c r="B525" s="34"/>
      <c r="C525" s="35"/>
      <c r="D525" s="36"/>
      <c r="E525" s="37"/>
      <c r="F525" s="38"/>
    </row>
    <row r="526" spans="1:6" x14ac:dyDescent="0.2">
      <c r="A526" s="33"/>
      <c r="B526" s="34"/>
      <c r="C526" s="35"/>
      <c r="D526" s="36"/>
      <c r="E526" s="37"/>
      <c r="F526" s="38"/>
    </row>
    <row r="527" spans="1:6" x14ac:dyDescent="0.2">
      <c r="A527" s="33"/>
      <c r="B527" s="34"/>
      <c r="C527" s="35"/>
      <c r="D527" s="36"/>
      <c r="E527" s="37"/>
      <c r="F527" s="38"/>
    </row>
    <row r="528" spans="1:6" x14ac:dyDescent="0.2">
      <c r="A528" s="33"/>
      <c r="B528" s="34"/>
      <c r="C528" s="35"/>
      <c r="D528" s="36"/>
      <c r="E528" s="37"/>
      <c r="F528" s="38"/>
    </row>
    <row r="529" spans="1:6" x14ac:dyDescent="0.2">
      <c r="A529" s="33"/>
      <c r="B529" s="34"/>
      <c r="C529" s="35"/>
      <c r="D529" s="36"/>
      <c r="E529" s="37"/>
      <c r="F529" s="38"/>
    </row>
    <row r="530" spans="1:6" x14ac:dyDescent="0.2">
      <c r="A530" s="33"/>
      <c r="B530" s="34"/>
      <c r="C530" s="35"/>
      <c r="D530" s="36"/>
      <c r="E530" s="37"/>
      <c r="F530" s="38"/>
    </row>
    <row r="531" spans="1:6" x14ac:dyDescent="0.2">
      <c r="A531" s="33"/>
      <c r="B531" s="34"/>
      <c r="C531" s="35"/>
      <c r="D531" s="36"/>
      <c r="E531" s="37"/>
      <c r="F531" s="38"/>
    </row>
    <row r="532" spans="1:6" x14ac:dyDescent="0.2">
      <c r="A532" s="33"/>
      <c r="B532" s="34"/>
      <c r="C532" s="35"/>
      <c r="D532" s="36"/>
      <c r="E532" s="37"/>
      <c r="F532" s="38"/>
    </row>
    <row r="533" spans="1:6" x14ac:dyDescent="0.2">
      <c r="A533" s="33"/>
      <c r="B533" s="34"/>
      <c r="C533" s="35"/>
      <c r="D533" s="36"/>
      <c r="E533" s="37"/>
      <c r="F533" s="38"/>
    </row>
    <row r="534" spans="1:6" x14ac:dyDescent="0.2">
      <c r="A534" s="33"/>
      <c r="B534" s="34"/>
      <c r="C534" s="35"/>
      <c r="D534" s="36"/>
      <c r="E534" s="37"/>
      <c r="F534" s="38"/>
    </row>
    <row r="535" spans="1:6" x14ac:dyDescent="0.2">
      <c r="A535" s="33"/>
      <c r="B535" s="34"/>
      <c r="C535" s="35"/>
      <c r="D535" s="36"/>
      <c r="E535" s="37"/>
      <c r="F535" s="38"/>
    </row>
    <row r="536" spans="1:6" x14ac:dyDescent="0.2">
      <c r="A536" s="33"/>
      <c r="B536" s="34"/>
      <c r="C536" s="35"/>
      <c r="D536" s="36"/>
      <c r="E536" s="37"/>
      <c r="F536" s="38"/>
    </row>
    <row r="537" spans="1:6" x14ac:dyDescent="0.2">
      <c r="A537" s="33"/>
      <c r="B537" s="34"/>
      <c r="C537" s="35"/>
      <c r="D537" s="36"/>
      <c r="E537" s="37"/>
      <c r="F537" s="38"/>
    </row>
    <row r="538" spans="1:6" x14ac:dyDescent="0.2">
      <c r="A538" s="33"/>
      <c r="B538" s="34"/>
      <c r="C538" s="35"/>
      <c r="D538" s="36"/>
      <c r="E538" s="37"/>
      <c r="F538" s="38"/>
    </row>
    <row r="539" spans="1:6" x14ac:dyDescent="0.2">
      <c r="A539" s="33"/>
      <c r="B539" s="34"/>
      <c r="C539" s="35"/>
      <c r="D539" s="36"/>
      <c r="E539" s="37"/>
      <c r="F539" s="38"/>
    </row>
    <row r="540" spans="1:6" x14ac:dyDescent="0.2">
      <c r="A540" s="33"/>
      <c r="B540" s="34"/>
      <c r="C540" s="35"/>
      <c r="D540" s="36"/>
      <c r="E540" s="37"/>
      <c r="F540" s="38"/>
    </row>
    <row r="541" spans="1:6" x14ac:dyDescent="0.2">
      <c r="A541" s="33"/>
      <c r="B541" s="34"/>
      <c r="C541" s="35"/>
      <c r="D541" s="36"/>
      <c r="E541" s="37"/>
      <c r="F541" s="38"/>
    </row>
    <row r="542" spans="1:6" x14ac:dyDescent="0.2">
      <c r="A542" s="33"/>
      <c r="B542" s="34"/>
      <c r="C542" s="35"/>
      <c r="D542" s="36"/>
      <c r="E542" s="37"/>
      <c r="F542" s="38"/>
    </row>
    <row r="543" spans="1:6" x14ac:dyDescent="0.2">
      <c r="A543" s="33"/>
      <c r="B543" s="34"/>
      <c r="C543" s="35"/>
      <c r="D543" s="36"/>
      <c r="E543" s="37"/>
      <c r="F543" s="38"/>
    </row>
    <row r="544" spans="1:6" x14ac:dyDescent="0.2">
      <c r="A544" s="33"/>
      <c r="B544" s="34"/>
      <c r="C544" s="35"/>
      <c r="D544" s="36"/>
      <c r="E544" s="37"/>
      <c r="F544" s="38"/>
    </row>
    <row r="545" spans="1:6" x14ac:dyDescent="0.2">
      <c r="A545" s="33"/>
      <c r="B545" s="34"/>
      <c r="C545" s="35"/>
      <c r="D545" s="36"/>
      <c r="E545" s="37"/>
      <c r="F545" s="38"/>
    </row>
    <row r="546" spans="1:6" x14ac:dyDescent="0.2">
      <c r="A546" s="33"/>
      <c r="B546" s="34"/>
      <c r="C546" s="35"/>
      <c r="D546" s="36"/>
      <c r="E546" s="37"/>
      <c r="F546" s="38"/>
    </row>
    <row r="547" spans="1:6" x14ac:dyDescent="0.2">
      <c r="A547" s="33"/>
      <c r="B547" s="34"/>
      <c r="C547" s="35"/>
      <c r="D547" s="36"/>
      <c r="E547" s="37"/>
      <c r="F547" s="38"/>
    </row>
    <row r="548" spans="1:6" x14ac:dyDescent="0.2">
      <c r="A548" s="33"/>
      <c r="B548" s="34"/>
      <c r="C548" s="35"/>
      <c r="D548" s="36"/>
      <c r="E548" s="37"/>
      <c r="F548" s="38"/>
    </row>
    <row r="549" spans="1:6" x14ac:dyDescent="0.2">
      <c r="A549" s="33"/>
      <c r="B549" s="34"/>
      <c r="C549" s="35"/>
      <c r="D549" s="36"/>
      <c r="E549" s="37"/>
      <c r="F549" s="38"/>
    </row>
    <row r="550" spans="1:6" x14ac:dyDescent="0.2">
      <c r="A550" s="33"/>
      <c r="B550" s="34"/>
      <c r="C550" s="35"/>
      <c r="D550" s="36"/>
      <c r="E550" s="37"/>
      <c r="F550" s="38"/>
    </row>
    <row r="551" spans="1:6" x14ac:dyDescent="0.2">
      <c r="A551" s="33"/>
      <c r="B551" s="34"/>
      <c r="C551" s="35"/>
      <c r="D551" s="36"/>
      <c r="E551" s="37"/>
      <c r="F551" s="38"/>
    </row>
    <row r="552" spans="1:6" x14ac:dyDescent="0.2">
      <c r="A552" s="33"/>
      <c r="B552" s="34"/>
      <c r="C552" s="35"/>
      <c r="D552" s="36"/>
      <c r="E552" s="37"/>
      <c r="F552" s="38"/>
    </row>
    <row r="553" spans="1:6" x14ac:dyDescent="0.2">
      <c r="A553" s="33"/>
      <c r="B553" s="34"/>
      <c r="C553" s="35"/>
      <c r="D553" s="36"/>
      <c r="E553" s="37"/>
      <c r="F553" s="38"/>
    </row>
    <row r="554" spans="1:6" x14ac:dyDescent="0.2">
      <c r="A554" s="33"/>
      <c r="B554" s="34"/>
      <c r="C554" s="35"/>
      <c r="D554" s="36"/>
      <c r="E554" s="37"/>
      <c r="F554" s="38"/>
    </row>
    <row r="555" spans="1:6" x14ac:dyDescent="0.2">
      <c r="A555" s="33"/>
      <c r="B555" s="34"/>
      <c r="C555" s="35"/>
      <c r="D555" s="36"/>
      <c r="E555" s="37"/>
      <c r="F555" s="38"/>
    </row>
    <row r="556" spans="1:6" x14ac:dyDescent="0.2">
      <c r="A556" s="33"/>
      <c r="B556" s="34"/>
      <c r="C556" s="35"/>
      <c r="D556" s="36"/>
      <c r="E556" s="37"/>
      <c r="F556" s="38"/>
    </row>
    <row r="557" spans="1:6" x14ac:dyDescent="0.2">
      <c r="A557" s="33"/>
      <c r="B557" s="34"/>
      <c r="C557" s="35"/>
      <c r="D557" s="36"/>
      <c r="E557" s="37"/>
      <c r="F557" s="38"/>
    </row>
    <row r="558" spans="1:6" x14ac:dyDescent="0.2">
      <c r="A558" s="33"/>
      <c r="B558" s="34"/>
      <c r="C558" s="35"/>
      <c r="D558" s="36"/>
      <c r="E558" s="37"/>
      <c r="F558" s="38"/>
    </row>
    <row r="559" spans="1:6" x14ac:dyDescent="0.2">
      <c r="A559" s="33"/>
      <c r="B559" s="34"/>
      <c r="C559" s="35"/>
      <c r="D559" s="36"/>
      <c r="E559" s="37"/>
      <c r="F559" s="38"/>
    </row>
    <row r="560" spans="1:6" x14ac:dyDescent="0.2">
      <c r="A560" s="33"/>
      <c r="B560" s="34"/>
      <c r="C560" s="35"/>
      <c r="D560" s="36"/>
      <c r="E560" s="37"/>
      <c r="F560" s="38"/>
    </row>
    <row r="561" spans="1:6" x14ac:dyDescent="0.2">
      <c r="A561" s="33"/>
      <c r="B561" s="34"/>
      <c r="C561" s="35"/>
      <c r="D561" s="36"/>
      <c r="E561" s="37"/>
      <c r="F561" s="38"/>
    </row>
    <row r="562" spans="1:6" x14ac:dyDescent="0.2">
      <c r="A562" s="33"/>
      <c r="B562" s="34"/>
      <c r="C562" s="35"/>
      <c r="D562" s="36"/>
      <c r="E562" s="37"/>
      <c r="F562" s="38"/>
    </row>
    <row r="563" spans="1:6" x14ac:dyDescent="0.2">
      <c r="A563" s="33"/>
      <c r="B563" s="34"/>
      <c r="C563" s="35"/>
      <c r="D563" s="36"/>
      <c r="E563" s="37"/>
      <c r="F563" s="38"/>
    </row>
    <row r="564" spans="1:6" x14ac:dyDescent="0.2">
      <c r="A564" s="33"/>
      <c r="B564" s="34"/>
      <c r="C564" s="35"/>
      <c r="D564" s="36"/>
      <c r="E564" s="37"/>
      <c r="F564" s="38"/>
    </row>
    <row r="565" spans="1:6" x14ac:dyDescent="0.2">
      <c r="A565" s="33"/>
      <c r="B565" s="34"/>
      <c r="C565" s="35"/>
      <c r="D565" s="36"/>
      <c r="E565" s="37"/>
      <c r="F565" s="38"/>
    </row>
    <row r="566" spans="1:6" x14ac:dyDescent="0.2">
      <c r="A566" s="33"/>
      <c r="B566" s="34"/>
      <c r="C566" s="35"/>
      <c r="D566" s="36"/>
      <c r="E566" s="37"/>
      <c r="F566" s="38"/>
    </row>
    <row r="567" spans="1:6" x14ac:dyDescent="0.2">
      <c r="A567" s="33"/>
      <c r="B567" s="34"/>
      <c r="C567" s="35"/>
      <c r="D567" s="36"/>
      <c r="E567" s="37"/>
      <c r="F567" s="38"/>
    </row>
    <row r="568" spans="1:6" x14ac:dyDescent="0.2">
      <c r="A568" s="33"/>
      <c r="B568" s="34"/>
      <c r="C568" s="35"/>
      <c r="D568" s="36"/>
      <c r="E568" s="37"/>
      <c r="F568" s="38"/>
    </row>
    <row r="569" spans="1:6" x14ac:dyDescent="0.2">
      <c r="A569" s="33"/>
      <c r="B569" s="34"/>
      <c r="C569" s="35"/>
      <c r="D569" s="36"/>
      <c r="E569" s="37"/>
      <c r="F569" s="38"/>
    </row>
    <row r="570" spans="1:6" x14ac:dyDescent="0.2">
      <c r="A570" s="33"/>
      <c r="B570" s="34"/>
      <c r="C570" s="35"/>
      <c r="D570" s="36"/>
      <c r="E570" s="37"/>
      <c r="F570" s="38"/>
    </row>
    <row r="571" spans="1:6" x14ac:dyDescent="0.2">
      <c r="A571" s="33"/>
      <c r="B571" s="34"/>
      <c r="C571" s="35"/>
      <c r="D571" s="36"/>
      <c r="E571" s="37"/>
      <c r="F571" s="38"/>
    </row>
    <row r="572" spans="1:6" x14ac:dyDescent="0.2">
      <c r="A572" s="33"/>
      <c r="B572" s="34"/>
      <c r="C572" s="35"/>
      <c r="D572" s="36"/>
      <c r="E572" s="37"/>
      <c r="F572" s="38"/>
    </row>
    <row r="573" spans="1:6" x14ac:dyDescent="0.2">
      <c r="A573" s="33"/>
      <c r="B573" s="34"/>
      <c r="C573" s="35"/>
      <c r="D573" s="36"/>
      <c r="E573" s="37"/>
      <c r="F573" s="38"/>
    </row>
    <row r="574" spans="1:6" x14ac:dyDescent="0.2">
      <c r="A574" s="33"/>
      <c r="B574" s="34"/>
      <c r="C574" s="35"/>
      <c r="D574" s="36"/>
      <c r="E574" s="37"/>
      <c r="F574" s="38"/>
    </row>
    <row r="575" spans="1:6" x14ac:dyDescent="0.2">
      <c r="A575" s="33"/>
      <c r="B575" s="34"/>
      <c r="C575" s="35"/>
      <c r="D575" s="36"/>
      <c r="E575" s="37"/>
      <c r="F575" s="38"/>
    </row>
    <row r="576" spans="1:6" x14ac:dyDescent="0.2">
      <c r="A576" s="33"/>
      <c r="B576" s="34"/>
      <c r="C576" s="35"/>
      <c r="D576" s="36"/>
      <c r="E576" s="37"/>
      <c r="F576" s="38"/>
    </row>
    <row r="577" spans="1:6" x14ac:dyDescent="0.2">
      <c r="A577" s="33"/>
      <c r="B577" s="34"/>
      <c r="C577" s="35"/>
      <c r="D577" s="36"/>
      <c r="E577" s="37"/>
      <c r="F577" s="38"/>
    </row>
    <row r="578" spans="1:6" x14ac:dyDescent="0.2">
      <c r="A578" s="33"/>
      <c r="B578" s="34"/>
      <c r="C578" s="35"/>
      <c r="D578" s="36"/>
      <c r="E578" s="37"/>
      <c r="F578" s="38"/>
    </row>
    <row r="579" spans="1:6" x14ac:dyDescent="0.2">
      <c r="A579" s="33"/>
      <c r="B579" s="34"/>
      <c r="C579" s="35"/>
      <c r="D579" s="36"/>
      <c r="E579" s="37"/>
      <c r="F579" s="38"/>
    </row>
    <row r="580" spans="1:6" x14ac:dyDescent="0.2">
      <c r="A580" s="33"/>
      <c r="B580" s="34"/>
      <c r="C580" s="35"/>
      <c r="D580" s="36"/>
      <c r="E580" s="37"/>
      <c r="F580" s="38"/>
    </row>
    <row r="581" spans="1:6" x14ac:dyDescent="0.2">
      <c r="A581" s="33"/>
      <c r="B581" s="34"/>
      <c r="C581" s="35"/>
      <c r="D581" s="36"/>
      <c r="E581" s="37"/>
      <c r="F581" s="38"/>
    </row>
    <row r="582" spans="1:6" x14ac:dyDescent="0.2">
      <c r="A582" s="33"/>
      <c r="B582" s="34"/>
      <c r="C582" s="35"/>
      <c r="D582" s="36"/>
      <c r="E582" s="37"/>
      <c r="F582" s="38"/>
    </row>
    <row r="583" spans="1:6" x14ac:dyDescent="0.2">
      <c r="A583" s="33"/>
      <c r="B583" s="34"/>
      <c r="C583" s="35"/>
      <c r="D583" s="36"/>
      <c r="E583" s="37"/>
      <c r="F583" s="38"/>
    </row>
    <row r="584" spans="1:6" x14ac:dyDescent="0.2">
      <c r="A584" s="33"/>
      <c r="B584" s="34"/>
      <c r="C584" s="35"/>
      <c r="D584" s="36"/>
      <c r="E584" s="37"/>
      <c r="F584" s="38"/>
    </row>
    <row r="585" spans="1:6" x14ac:dyDescent="0.2">
      <c r="A585" s="33"/>
      <c r="B585" s="34"/>
      <c r="C585" s="35"/>
      <c r="D585" s="36"/>
      <c r="E585" s="37"/>
      <c r="F585" s="38"/>
    </row>
    <row r="586" spans="1:6" x14ac:dyDescent="0.2">
      <c r="A586" s="33"/>
      <c r="B586" s="34"/>
      <c r="C586" s="35"/>
      <c r="D586" s="36"/>
      <c r="E586" s="37"/>
      <c r="F586" s="38"/>
    </row>
    <row r="587" spans="1:6" x14ac:dyDescent="0.2">
      <c r="A587" s="33"/>
      <c r="B587" s="34"/>
      <c r="C587" s="35"/>
      <c r="D587" s="36"/>
      <c r="E587" s="37"/>
      <c r="F587" s="38"/>
    </row>
    <row r="588" spans="1:6" x14ac:dyDescent="0.2">
      <c r="A588" s="33"/>
      <c r="B588" s="34"/>
      <c r="C588" s="35"/>
      <c r="D588" s="36"/>
      <c r="E588" s="37"/>
      <c r="F588" s="38"/>
    </row>
    <row r="589" spans="1:6" x14ac:dyDescent="0.2">
      <c r="A589" s="33"/>
      <c r="B589" s="34"/>
      <c r="C589" s="35"/>
      <c r="D589" s="36"/>
      <c r="E589" s="37"/>
      <c r="F589" s="38"/>
    </row>
    <row r="590" spans="1:6" x14ac:dyDescent="0.2">
      <c r="A590" s="33"/>
      <c r="B590" s="34"/>
      <c r="C590" s="35"/>
      <c r="D590" s="36"/>
      <c r="E590" s="37"/>
      <c r="F590" s="38"/>
    </row>
    <row r="591" spans="1:6" x14ac:dyDescent="0.2">
      <c r="A591" s="33"/>
      <c r="B591" s="34"/>
      <c r="C591" s="35"/>
      <c r="D591" s="36"/>
      <c r="E591" s="37"/>
      <c r="F591" s="38"/>
    </row>
    <row r="592" spans="1:6" x14ac:dyDescent="0.2">
      <c r="A592" s="33"/>
      <c r="B592" s="34"/>
      <c r="C592" s="35"/>
      <c r="D592" s="36"/>
      <c r="E592" s="37"/>
      <c r="F592" s="38"/>
    </row>
    <row r="593" spans="1:6" x14ac:dyDescent="0.2">
      <c r="A593" s="33"/>
      <c r="B593" s="34"/>
      <c r="C593" s="35"/>
      <c r="D593" s="36"/>
      <c r="E593" s="37"/>
      <c r="F593" s="38"/>
    </row>
    <row r="594" spans="1:6" x14ac:dyDescent="0.2">
      <c r="A594" s="33"/>
      <c r="B594" s="34"/>
      <c r="C594" s="35"/>
      <c r="D594" s="36"/>
      <c r="E594" s="37"/>
      <c r="F594" s="38"/>
    </row>
    <row r="595" spans="1:6" x14ac:dyDescent="0.2">
      <c r="A595" s="33"/>
      <c r="B595" s="34"/>
      <c r="C595" s="35"/>
      <c r="D595" s="36"/>
      <c r="E595" s="37"/>
      <c r="F595" s="38"/>
    </row>
    <row r="596" spans="1:6" x14ac:dyDescent="0.2">
      <c r="A596" s="33"/>
      <c r="B596" s="34"/>
      <c r="C596" s="35"/>
      <c r="D596" s="36"/>
      <c r="E596" s="37"/>
      <c r="F596" s="38"/>
    </row>
    <row r="597" spans="1:6" x14ac:dyDescent="0.2">
      <c r="A597" s="33"/>
      <c r="B597" s="34"/>
      <c r="C597" s="35"/>
      <c r="D597" s="36"/>
      <c r="E597" s="37"/>
      <c r="F597" s="38"/>
    </row>
    <row r="598" spans="1:6" x14ac:dyDescent="0.2">
      <c r="A598" s="33"/>
      <c r="B598" s="34"/>
      <c r="C598" s="35"/>
      <c r="D598" s="36"/>
      <c r="E598" s="37"/>
      <c r="F598" s="38"/>
    </row>
    <row r="599" spans="1:6" x14ac:dyDescent="0.2">
      <c r="A599" s="33"/>
      <c r="B599" s="34"/>
      <c r="C599" s="35"/>
      <c r="D599" s="36"/>
      <c r="E599" s="37"/>
      <c r="F599" s="38"/>
    </row>
    <row r="600" spans="1:6" x14ac:dyDescent="0.2">
      <c r="A600" s="33"/>
      <c r="B600" s="34"/>
      <c r="C600" s="35"/>
      <c r="D600" s="36"/>
      <c r="E600" s="37"/>
      <c r="F600" s="38"/>
    </row>
    <row r="601" spans="1:6" x14ac:dyDescent="0.2">
      <c r="A601" s="33"/>
      <c r="B601" s="34"/>
      <c r="C601" s="35"/>
      <c r="D601" s="36"/>
      <c r="E601" s="37"/>
      <c r="F601" s="38"/>
    </row>
    <row r="602" spans="1:6" x14ac:dyDescent="0.2">
      <c r="A602" s="33"/>
      <c r="B602" s="34"/>
      <c r="C602" s="35"/>
      <c r="D602" s="36"/>
      <c r="E602" s="37"/>
      <c r="F602" s="38"/>
    </row>
    <row r="603" spans="1:6" x14ac:dyDescent="0.2">
      <c r="A603" s="33"/>
      <c r="B603" s="34"/>
      <c r="C603" s="35"/>
      <c r="D603" s="36"/>
      <c r="E603" s="37"/>
      <c r="F603" s="38"/>
    </row>
    <row r="604" spans="1:6" x14ac:dyDescent="0.2">
      <c r="A604" s="33"/>
      <c r="B604" s="34"/>
      <c r="C604" s="35"/>
      <c r="D604" s="36"/>
      <c r="E604" s="37"/>
      <c r="F604" s="38"/>
    </row>
    <row r="605" spans="1:6" x14ac:dyDescent="0.2">
      <c r="A605" s="33"/>
      <c r="B605" s="34"/>
      <c r="C605" s="35"/>
      <c r="D605" s="36"/>
      <c r="E605" s="37"/>
      <c r="F605" s="38"/>
    </row>
    <row r="606" spans="1:6" x14ac:dyDescent="0.2">
      <c r="A606" s="33"/>
      <c r="B606" s="34"/>
      <c r="C606" s="35"/>
      <c r="D606" s="36"/>
      <c r="E606" s="37"/>
      <c r="F606" s="38"/>
    </row>
    <row r="607" spans="1:6" x14ac:dyDescent="0.2">
      <c r="A607" s="33"/>
      <c r="B607" s="34"/>
      <c r="C607" s="35"/>
      <c r="D607" s="36"/>
      <c r="E607" s="37"/>
      <c r="F607" s="38"/>
    </row>
    <row r="608" spans="1:6" x14ac:dyDescent="0.2">
      <c r="A608" s="33"/>
      <c r="B608" s="34"/>
      <c r="C608" s="35"/>
      <c r="D608" s="36"/>
      <c r="E608" s="37"/>
      <c r="F608" s="38"/>
    </row>
    <row r="609" spans="1:6" x14ac:dyDescent="0.2">
      <c r="A609" s="33"/>
      <c r="B609" s="34"/>
      <c r="C609" s="35"/>
      <c r="D609" s="36"/>
      <c r="E609" s="37"/>
      <c r="F609" s="38"/>
    </row>
    <row r="610" spans="1:6" x14ac:dyDescent="0.2">
      <c r="A610" s="33"/>
      <c r="B610" s="34"/>
      <c r="C610" s="35"/>
      <c r="D610" s="36"/>
      <c r="E610" s="37"/>
      <c r="F610" s="38"/>
    </row>
    <row r="611" spans="1:6" x14ac:dyDescent="0.2">
      <c r="A611" s="33"/>
      <c r="B611" s="34"/>
      <c r="C611" s="35"/>
      <c r="D611" s="36"/>
      <c r="E611" s="37"/>
      <c r="F611" s="38"/>
    </row>
    <row r="612" spans="1:6" x14ac:dyDescent="0.2">
      <c r="A612" s="33"/>
      <c r="B612" s="34"/>
      <c r="C612" s="35"/>
      <c r="D612" s="36"/>
      <c r="E612" s="37"/>
      <c r="F612" s="38"/>
    </row>
    <row r="613" spans="1:6" x14ac:dyDescent="0.2">
      <c r="A613" s="33"/>
      <c r="B613" s="34"/>
      <c r="C613" s="35"/>
      <c r="D613" s="36"/>
      <c r="E613" s="37"/>
      <c r="F613" s="38"/>
    </row>
    <row r="614" spans="1:6" x14ac:dyDescent="0.2">
      <c r="A614" s="33"/>
      <c r="B614" s="34"/>
      <c r="C614" s="35"/>
      <c r="D614" s="36"/>
      <c r="E614" s="37"/>
      <c r="F614" s="38"/>
    </row>
    <row r="615" spans="1:6" x14ac:dyDescent="0.2">
      <c r="A615" s="33"/>
      <c r="B615" s="34"/>
      <c r="C615" s="35"/>
      <c r="D615" s="36"/>
      <c r="E615" s="37"/>
      <c r="F615" s="38"/>
    </row>
    <row r="616" spans="1:6" x14ac:dyDescent="0.2">
      <c r="A616" s="33"/>
      <c r="B616" s="34"/>
      <c r="C616" s="35"/>
      <c r="D616" s="36"/>
      <c r="E616" s="37"/>
      <c r="F616" s="38"/>
    </row>
    <row r="617" spans="1:6" x14ac:dyDescent="0.2">
      <c r="A617" s="33"/>
      <c r="B617" s="34"/>
      <c r="C617" s="35"/>
      <c r="D617" s="36"/>
      <c r="E617" s="37"/>
      <c r="F617" s="38"/>
    </row>
    <row r="618" spans="1:6" x14ac:dyDescent="0.2">
      <c r="A618" s="33"/>
      <c r="B618" s="34"/>
      <c r="C618" s="35"/>
      <c r="D618" s="36"/>
      <c r="E618" s="37"/>
      <c r="F618" s="38"/>
    </row>
    <row r="619" spans="1:6" x14ac:dyDescent="0.2">
      <c r="A619" s="33"/>
      <c r="B619" s="34"/>
      <c r="C619" s="35"/>
      <c r="D619" s="36"/>
      <c r="E619" s="37"/>
      <c r="F619" s="38"/>
    </row>
    <row r="620" spans="1:6" x14ac:dyDescent="0.2">
      <c r="A620" s="33"/>
      <c r="B620" s="34"/>
      <c r="C620" s="35"/>
      <c r="D620" s="36"/>
      <c r="E620" s="37"/>
      <c r="F620" s="38"/>
    </row>
    <row r="621" spans="1:6" x14ac:dyDescent="0.2">
      <c r="A621" s="33"/>
      <c r="B621" s="34"/>
      <c r="C621" s="35"/>
      <c r="D621" s="36"/>
      <c r="E621" s="37"/>
      <c r="F621" s="38"/>
    </row>
    <row r="622" spans="1:6" x14ac:dyDescent="0.2">
      <c r="A622" s="33"/>
      <c r="B622" s="34"/>
      <c r="C622" s="35"/>
      <c r="D622" s="36"/>
      <c r="E622" s="37"/>
      <c r="F622" s="38"/>
    </row>
    <row r="623" spans="1:6" x14ac:dyDescent="0.2">
      <c r="A623" s="33"/>
      <c r="B623" s="34"/>
      <c r="C623" s="35"/>
      <c r="D623" s="36"/>
      <c r="E623" s="37"/>
      <c r="F623" s="38"/>
    </row>
    <row r="624" spans="1:6" x14ac:dyDescent="0.2">
      <c r="A624" s="33"/>
      <c r="B624" s="34"/>
      <c r="C624" s="35"/>
      <c r="D624" s="36"/>
      <c r="E624" s="37"/>
      <c r="F624" s="38"/>
    </row>
    <row r="625" spans="1:6" x14ac:dyDescent="0.2">
      <c r="A625" s="33"/>
      <c r="B625" s="34"/>
      <c r="C625" s="35"/>
      <c r="D625" s="36"/>
      <c r="E625" s="37"/>
      <c r="F625" s="38"/>
    </row>
    <row r="626" spans="1:6" x14ac:dyDescent="0.2">
      <c r="A626" s="33"/>
      <c r="B626" s="34"/>
      <c r="C626" s="35"/>
      <c r="D626" s="36"/>
      <c r="E626" s="37"/>
      <c r="F626" s="38"/>
    </row>
    <row r="627" spans="1:6" x14ac:dyDescent="0.2">
      <c r="A627" s="33"/>
      <c r="B627" s="34"/>
      <c r="C627" s="35"/>
      <c r="D627" s="36"/>
      <c r="E627" s="37"/>
      <c r="F627" s="38"/>
    </row>
    <row r="628" spans="1:6" x14ac:dyDescent="0.2">
      <c r="A628" s="33"/>
      <c r="B628" s="34"/>
      <c r="C628" s="35"/>
      <c r="D628" s="36"/>
      <c r="E628" s="37"/>
      <c r="F628" s="38"/>
    </row>
    <row r="629" spans="1:6" x14ac:dyDescent="0.2">
      <c r="A629" s="33"/>
      <c r="B629" s="34"/>
      <c r="C629" s="35"/>
      <c r="D629" s="36"/>
      <c r="E629" s="37"/>
      <c r="F629" s="38"/>
    </row>
    <row r="630" spans="1:6" x14ac:dyDescent="0.2">
      <c r="A630" s="33"/>
      <c r="B630" s="34"/>
      <c r="C630" s="35"/>
      <c r="D630" s="36"/>
      <c r="E630" s="37"/>
      <c r="F630" s="38"/>
    </row>
    <row r="631" spans="1:6" x14ac:dyDescent="0.2">
      <c r="A631" s="33"/>
      <c r="B631" s="34"/>
      <c r="C631" s="35"/>
      <c r="D631" s="36"/>
      <c r="E631" s="37"/>
      <c r="F631" s="38"/>
    </row>
    <row r="632" spans="1:6" x14ac:dyDescent="0.2">
      <c r="A632" s="33"/>
      <c r="B632" s="34"/>
      <c r="C632" s="35"/>
      <c r="D632" s="36"/>
      <c r="E632" s="37"/>
      <c r="F632" s="38"/>
    </row>
    <row r="633" spans="1:6" x14ac:dyDescent="0.2">
      <c r="A633" s="33"/>
      <c r="B633" s="34"/>
      <c r="C633" s="35"/>
      <c r="D633" s="36"/>
      <c r="E633" s="37"/>
      <c r="F633" s="38"/>
    </row>
    <row r="634" spans="1:6" x14ac:dyDescent="0.2">
      <c r="A634" s="33"/>
      <c r="B634" s="34"/>
      <c r="C634" s="35"/>
      <c r="D634" s="36"/>
      <c r="E634" s="37"/>
      <c r="F634" s="38"/>
    </row>
    <row r="635" spans="1:6" x14ac:dyDescent="0.2">
      <c r="A635" s="33"/>
      <c r="B635" s="34"/>
      <c r="C635" s="35"/>
      <c r="D635" s="36"/>
      <c r="E635" s="37"/>
      <c r="F635" s="38"/>
    </row>
    <row r="636" spans="1:6" x14ac:dyDescent="0.2">
      <c r="A636" s="33"/>
      <c r="B636" s="34"/>
      <c r="C636" s="35"/>
      <c r="D636" s="36"/>
      <c r="E636" s="37"/>
      <c r="F636" s="38"/>
    </row>
    <row r="637" spans="1:6" x14ac:dyDescent="0.2">
      <c r="A637" s="33"/>
      <c r="B637" s="34"/>
      <c r="C637" s="35"/>
      <c r="D637" s="36"/>
      <c r="E637" s="37"/>
      <c r="F637" s="38"/>
    </row>
    <row r="638" spans="1:6" x14ac:dyDescent="0.2">
      <c r="A638" s="33"/>
      <c r="B638" s="34"/>
      <c r="C638" s="35"/>
      <c r="D638" s="36"/>
      <c r="E638" s="37"/>
      <c r="F638" s="38"/>
    </row>
    <row r="639" spans="1:6" x14ac:dyDescent="0.2">
      <c r="A639" s="33"/>
      <c r="B639" s="34"/>
      <c r="C639" s="35"/>
      <c r="D639" s="36"/>
      <c r="E639" s="37"/>
      <c r="F639" s="38"/>
    </row>
    <row r="640" spans="1:6" x14ac:dyDescent="0.2">
      <c r="A640" s="33"/>
      <c r="B640" s="34"/>
      <c r="C640" s="35"/>
      <c r="D640" s="36"/>
      <c r="E640" s="37"/>
      <c r="F640" s="38"/>
    </row>
    <row r="641" spans="1:6" x14ac:dyDescent="0.2">
      <c r="A641" s="33"/>
      <c r="B641" s="34"/>
      <c r="C641" s="35"/>
      <c r="D641" s="36"/>
      <c r="E641" s="37"/>
      <c r="F641" s="38"/>
    </row>
    <row r="642" spans="1:6" x14ac:dyDescent="0.2">
      <c r="A642" s="33"/>
      <c r="B642" s="34"/>
      <c r="C642" s="35"/>
      <c r="D642" s="36"/>
      <c r="E642" s="37"/>
      <c r="F642" s="38"/>
    </row>
    <row r="643" spans="1:6" x14ac:dyDescent="0.2">
      <c r="A643" s="33"/>
      <c r="B643" s="34"/>
      <c r="C643" s="35"/>
      <c r="D643" s="36"/>
      <c r="E643" s="37"/>
      <c r="F643" s="38"/>
    </row>
    <row r="644" spans="1:6" x14ac:dyDescent="0.2">
      <c r="A644" s="33"/>
      <c r="B644" s="34"/>
      <c r="C644" s="35"/>
      <c r="D644" s="36"/>
      <c r="E644" s="37"/>
      <c r="F644" s="38"/>
    </row>
    <row r="645" spans="1:6" x14ac:dyDescent="0.2">
      <c r="A645" s="33"/>
      <c r="B645" s="34"/>
      <c r="C645" s="35"/>
      <c r="D645" s="36"/>
      <c r="E645" s="37"/>
      <c r="F645" s="38"/>
    </row>
    <row r="646" spans="1:6" x14ac:dyDescent="0.2">
      <c r="A646" s="33"/>
      <c r="B646" s="34"/>
      <c r="C646" s="35"/>
      <c r="D646" s="36"/>
      <c r="E646" s="37"/>
      <c r="F646" s="38"/>
    </row>
    <row r="647" spans="1:6" x14ac:dyDescent="0.2">
      <c r="A647" s="33"/>
      <c r="B647" s="34"/>
      <c r="C647" s="35"/>
      <c r="D647" s="36"/>
      <c r="E647" s="37"/>
      <c r="F647" s="38"/>
    </row>
    <row r="648" spans="1:6" x14ac:dyDescent="0.2">
      <c r="A648" s="33"/>
      <c r="B648" s="34"/>
      <c r="C648" s="35"/>
      <c r="D648" s="36"/>
      <c r="E648" s="37"/>
      <c r="F648" s="38"/>
    </row>
    <row r="649" spans="1:6" x14ac:dyDescent="0.2">
      <c r="A649" s="33"/>
      <c r="B649" s="34"/>
      <c r="C649" s="35"/>
      <c r="D649" s="36"/>
      <c r="E649" s="37"/>
      <c r="F649" s="38"/>
    </row>
    <row r="650" spans="1:6" x14ac:dyDescent="0.2">
      <c r="A650" s="33"/>
      <c r="B650" s="34"/>
      <c r="C650" s="35"/>
      <c r="D650" s="36"/>
      <c r="E650" s="37"/>
      <c r="F650" s="38"/>
    </row>
    <row r="651" spans="1:6" x14ac:dyDescent="0.2">
      <c r="A651" s="33"/>
      <c r="B651" s="34"/>
      <c r="C651" s="35"/>
      <c r="D651" s="36"/>
      <c r="E651" s="37"/>
      <c r="F651" s="38"/>
    </row>
    <row r="652" spans="1:6" x14ac:dyDescent="0.2">
      <c r="A652" s="33"/>
      <c r="B652" s="34"/>
      <c r="C652" s="35"/>
      <c r="D652" s="36"/>
      <c r="E652" s="37"/>
      <c r="F652" s="38"/>
    </row>
    <row r="653" spans="1:6" x14ac:dyDescent="0.2">
      <c r="A653" s="33"/>
      <c r="B653" s="34"/>
      <c r="C653" s="35"/>
      <c r="D653" s="36"/>
      <c r="E653" s="37"/>
      <c r="F653" s="38"/>
    </row>
    <row r="654" spans="1:6" x14ac:dyDescent="0.2">
      <c r="A654" s="33"/>
      <c r="B654" s="34"/>
      <c r="C654" s="35"/>
      <c r="D654" s="36"/>
      <c r="E654" s="37"/>
      <c r="F654" s="38"/>
    </row>
    <row r="655" spans="1:6" x14ac:dyDescent="0.2">
      <c r="A655" s="33"/>
      <c r="B655" s="34"/>
      <c r="C655" s="35"/>
      <c r="D655" s="36"/>
      <c r="E655" s="37"/>
      <c r="F655" s="38"/>
    </row>
    <row r="656" spans="1:6" x14ac:dyDescent="0.2">
      <c r="A656" s="33"/>
      <c r="B656" s="34"/>
      <c r="C656" s="35"/>
      <c r="D656" s="36"/>
      <c r="E656" s="37"/>
      <c r="F656" s="38"/>
    </row>
    <row r="657" spans="1:6" x14ac:dyDescent="0.2">
      <c r="A657" s="33"/>
      <c r="B657" s="34"/>
      <c r="C657" s="35"/>
      <c r="D657" s="36"/>
      <c r="E657" s="37"/>
      <c r="F657" s="38"/>
    </row>
    <row r="658" spans="1:6" x14ac:dyDescent="0.2">
      <c r="A658" s="33"/>
      <c r="B658" s="34"/>
      <c r="C658" s="35"/>
      <c r="D658" s="36"/>
      <c r="E658" s="37"/>
      <c r="F658" s="38"/>
    </row>
    <row r="659" spans="1:6" x14ac:dyDescent="0.2">
      <c r="A659" s="33"/>
      <c r="B659" s="34"/>
      <c r="C659" s="35"/>
      <c r="D659" s="36"/>
      <c r="E659" s="37"/>
      <c r="F659" s="38"/>
    </row>
    <row r="660" spans="1:6" x14ac:dyDescent="0.2">
      <c r="A660" s="33"/>
      <c r="B660" s="34"/>
      <c r="C660" s="35"/>
      <c r="D660" s="36"/>
      <c r="E660" s="37"/>
      <c r="F660" s="38"/>
    </row>
    <row r="661" spans="1:6" x14ac:dyDescent="0.2">
      <c r="A661" s="33"/>
      <c r="B661" s="34"/>
      <c r="C661" s="35"/>
      <c r="D661" s="36"/>
      <c r="E661" s="37"/>
      <c r="F661" s="38"/>
    </row>
    <row r="662" spans="1:6" x14ac:dyDescent="0.2">
      <c r="A662" s="33"/>
      <c r="B662" s="34"/>
      <c r="C662" s="35"/>
      <c r="D662" s="36"/>
      <c r="E662" s="37"/>
      <c r="F662" s="38"/>
    </row>
    <row r="663" spans="1:6" x14ac:dyDescent="0.2">
      <c r="A663" s="33"/>
      <c r="B663" s="34"/>
      <c r="C663" s="35"/>
      <c r="D663" s="36"/>
      <c r="E663" s="37"/>
      <c r="F663" s="38"/>
    </row>
    <row r="664" spans="1:6" x14ac:dyDescent="0.2">
      <c r="A664" s="33"/>
      <c r="B664" s="34"/>
      <c r="C664" s="35"/>
      <c r="D664" s="36"/>
      <c r="E664" s="37"/>
      <c r="F664" s="38"/>
    </row>
    <row r="665" spans="1:6" x14ac:dyDescent="0.2">
      <c r="A665" s="33"/>
      <c r="B665" s="34"/>
      <c r="C665" s="35"/>
      <c r="D665" s="36"/>
      <c r="E665" s="37"/>
      <c r="F665" s="38"/>
    </row>
    <row r="666" spans="1:6" x14ac:dyDescent="0.2">
      <c r="A666" s="33"/>
      <c r="B666" s="34"/>
      <c r="C666" s="35"/>
      <c r="D666" s="36"/>
      <c r="E666" s="37"/>
      <c r="F666" s="38"/>
    </row>
    <row r="667" spans="1:6" x14ac:dyDescent="0.2">
      <c r="A667" s="33"/>
      <c r="B667" s="34"/>
      <c r="C667" s="35"/>
      <c r="D667" s="36"/>
      <c r="E667" s="37"/>
      <c r="F667" s="38"/>
    </row>
    <row r="668" spans="1:6" x14ac:dyDescent="0.2">
      <c r="A668" s="33"/>
      <c r="B668" s="34"/>
      <c r="C668" s="35"/>
      <c r="D668" s="36"/>
      <c r="E668" s="37"/>
      <c r="F668" s="38"/>
    </row>
    <row r="669" spans="1:6" x14ac:dyDescent="0.2">
      <c r="A669" s="33"/>
      <c r="B669" s="34"/>
      <c r="C669" s="35"/>
      <c r="D669" s="36"/>
      <c r="E669" s="37"/>
      <c r="F669" s="38"/>
    </row>
    <row r="670" spans="1:6" x14ac:dyDescent="0.2">
      <c r="A670" s="33"/>
      <c r="B670" s="34"/>
      <c r="C670" s="35"/>
      <c r="D670" s="36"/>
      <c r="E670" s="37"/>
      <c r="F670" s="38"/>
    </row>
    <row r="671" spans="1:6" x14ac:dyDescent="0.2">
      <c r="A671" s="33"/>
      <c r="B671" s="34"/>
      <c r="C671" s="35"/>
      <c r="D671" s="36"/>
      <c r="E671" s="37"/>
      <c r="F671" s="38"/>
    </row>
    <row r="672" spans="1:6" x14ac:dyDescent="0.2">
      <c r="A672" s="33"/>
      <c r="B672" s="34"/>
      <c r="C672" s="35"/>
      <c r="D672" s="36"/>
      <c r="E672" s="37"/>
      <c r="F672" s="38"/>
    </row>
    <row r="673" spans="1:6" x14ac:dyDescent="0.2">
      <c r="A673" s="33"/>
      <c r="B673" s="34"/>
      <c r="C673" s="35"/>
      <c r="D673" s="36"/>
      <c r="E673" s="37"/>
      <c r="F673" s="38"/>
    </row>
    <row r="674" spans="1:6" x14ac:dyDescent="0.2">
      <c r="A674" s="33"/>
      <c r="B674" s="34"/>
      <c r="C674" s="35"/>
      <c r="D674" s="36"/>
      <c r="E674" s="37"/>
      <c r="F674" s="38"/>
    </row>
    <row r="675" spans="1:6" x14ac:dyDescent="0.2">
      <c r="A675" s="33"/>
      <c r="B675" s="34"/>
      <c r="C675" s="35"/>
      <c r="D675" s="36"/>
      <c r="E675" s="37"/>
      <c r="F675" s="38"/>
    </row>
    <row r="676" spans="1:6" x14ac:dyDescent="0.2">
      <c r="A676" s="33"/>
      <c r="B676" s="34"/>
      <c r="C676" s="35"/>
      <c r="D676" s="36"/>
      <c r="E676" s="37"/>
      <c r="F676" s="38"/>
    </row>
    <row r="677" spans="1:6" x14ac:dyDescent="0.2">
      <c r="A677" s="33"/>
      <c r="B677" s="34"/>
      <c r="C677" s="35"/>
      <c r="D677" s="36"/>
      <c r="E677" s="37"/>
      <c r="F677" s="38"/>
    </row>
    <row r="678" spans="1:6" x14ac:dyDescent="0.2">
      <c r="A678" s="33"/>
      <c r="B678" s="34"/>
      <c r="C678" s="35"/>
      <c r="D678" s="36"/>
      <c r="E678" s="37"/>
      <c r="F678" s="38"/>
    </row>
    <row r="679" spans="1:6" x14ac:dyDescent="0.2">
      <c r="A679" s="33"/>
      <c r="B679" s="34"/>
      <c r="C679" s="35"/>
      <c r="D679" s="36"/>
      <c r="E679" s="37"/>
      <c r="F679" s="38"/>
    </row>
    <row r="680" spans="1:6" x14ac:dyDescent="0.2">
      <c r="A680" s="33"/>
      <c r="B680" s="34"/>
      <c r="C680" s="35"/>
      <c r="D680" s="36"/>
      <c r="E680" s="37"/>
      <c r="F680" s="38"/>
    </row>
    <row r="681" spans="1:6" x14ac:dyDescent="0.2">
      <c r="A681" s="33"/>
      <c r="B681" s="34"/>
      <c r="C681" s="35"/>
      <c r="D681" s="36"/>
      <c r="E681" s="37"/>
      <c r="F681" s="38"/>
    </row>
    <row r="682" spans="1:6" x14ac:dyDescent="0.2">
      <c r="A682" s="33"/>
      <c r="B682" s="34"/>
      <c r="C682" s="35"/>
      <c r="D682" s="36"/>
      <c r="E682" s="37"/>
      <c r="F682" s="38"/>
    </row>
    <row r="683" spans="1:6" x14ac:dyDescent="0.2">
      <c r="A683" s="33"/>
      <c r="B683" s="34"/>
      <c r="C683" s="35"/>
      <c r="D683" s="36"/>
      <c r="E683" s="37"/>
      <c r="F683" s="38"/>
    </row>
    <row r="684" spans="1:6" x14ac:dyDescent="0.2">
      <c r="A684" s="33"/>
      <c r="B684" s="34"/>
      <c r="C684" s="35"/>
      <c r="D684" s="36"/>
      <c r="E684" s="37"/>
      <c r="F684" s="38"/>
    </row>
    <row r="685" spans="1:6" x14ac:dyDescent="0.2">
      <c r="A685" s="33"/>
      <c r="B685" s="34"/>
      <c r="C685" s="35"/>
      <c r="D685" s="36"/>
      <c r="E685" s="37"/>
      <c r="F685" s="38"/>
    </row>
    <row r="686" spans="1:6" x14ac:dyDescent="0.2">
      <c r="A686" s="33"/>
      <c r="B686" s="34"/>
      <c r="C686" s="35"/>
      <c r="D686" s="36"/>
      <c r="E686" s="37"/>
      <c r="F686" s="38"/>
    </row>
    <row r="687" spans="1:6" x14ac:dyDescent="0.2">
      <c r="A687" s="33"/>
      <c r="B687" s="34"/>
      <c r="C687" s="35"/>
      <c r="D687" s="36"/>
      <c r="E687" s="37"/>
      <c r="F687" s="38"/>
    </row>
    <row r="688" spans="1:6" x14ac:dyDescent="0.2">
      <c r="A688" s="33"/>
      <c r="B688" s="34"/>
      <c r="C688" s="35"/>
      <c r="D688" s="36"/>
      <c r="E688" s="37"/>
      <c r="F688" s="38"/>
    </row>
    <row r="689" spans="1:6" x14ac:dyDescent="0.2">
      <c r="A689" s="33"/>
      <c r="B689" s="34"/>
      <c r="C689" s="35"/>
      <c r="D689" s="36"/>
      <c r="E689" s="37"/>
      <c r="F689" s="38"/>
    </row>
    <row r="690" spans="1:6" x14ac:dyDescent="0.2">
      <c r="A690" s="33"/>
      <c r="B690" s="34"/>
      <c r="C690" s="35"/>
      <c r="D690" s="36"/>
      <c r="E690" s="37"/>
      <c r="F690" s="38"/>
    </row>
    <row r="691" spans="1:6" x14ac:dyDescent="0.2">
      <c r="A691" s="33"/>
      <c r="B691" s="34"/>
      <c r="C691" s="35"/>
      <c r="D691" s="36"/>
      <c r="E691" s="37"/>
      <c r="F691" s="38"/>
    </row>
    <row r="692" spans="1:6" x14ac:dyDescent="0.2">
      <c r="A692" s="33"/>
      <c r="B692" s="34"/>
      <c r="C692" s="35"/>
      <c r="D692" s="36"/>
      <c r="E692" s="37"/>
      <c r="F692" s="38"/>
    </row>
    <row r="693" spans="1:6" x14ac:dyDescent="0.2">
      <c r="A693" s="33"/>
      <c r="B693" s="34"/>
      <c r="C693" s="35"/>
      <c r="D693" s="36"/>
      <c r="E693" s="37"/>
      <c r="F693" s="38"/>
    </row>
    <row r="694" spans="1:6" x14ac:dyDescent="0.2">
      <c r="A694" s="33"/>
      <c r="B694" s="34"/>
      <c r="C694" s="35"/>
      <c r="D694" s="36"/>
      <c r="E694" s="37"/>
      <c r="F694" s="38"/>
    </row>
    <row r="695" spans="1:6" x14ac:dyDescent="0.2">
      <c r="A695" s="33"/>
      <c r="B695" s="34"/>
      <c r="C695" s="35"/>
      <c r="D695" s="36"/>
      <c r="E695" s="37"/>
      <c r="F695" s="38"/>
    </row>
    <row r="696" spans="1:6" x14ac:dyDescent="0.2">
      <c r="A696" s="33"/>
      <c r="B696" s="34"/>
      <c r="C696" s="35"/>
      <c r="D696" s="36"/>
      <c r="E696" s="37"/>
      <c r="F696" s="38"/>
    </row>
    <row r="697" spans="1:6" x14ac:dyDescent="0.2">
      <c r="A697" s="33"/>
      <c r="B697" s="34"/>
      <c r="C697" s="35"/>
      <c r="D697" s="36"/>
      <c r="E697" s="37"/>
      <c r="F697" s="38"/>
    </row>
    <row r="698" spans="1:6" x14ac:dyDescent="0.2">
      <c r="A698" s="33"/>
      <c r="B698" s="34"/>
      <c r="C698" s="35"/>
      <c r="D698" s="36"/>
      <c r="E698" s="37"/>
      <c r="F698" s="38"/>
    </row>
    <row r="699" spans="1:6" x14ac:dyDescent="0.2">
      <c r="A699" s="33"/>
      <c r="B699" s="34"/>
      <c r="C699" s="35"/>
      <c r="D699" s="36"/>
      <c r="E699" s="37"/>
      <c r="F699" s="38"/>
    </row>
    <row r="700" spans="1:6" x14ac:dyDescent="0.2">
      <c r="A700" s="33"/>
      <c r="B700" s="34"/>
      <c r="C700" s="35"/>
      <c r="D700" s="36"/>
      <c r="E700" s="37"/>
      <c r="F700" s="38"/>
    </row>
    <row r="701" spans="1:6" x14ac:dyDescent="0.2">
      <c r="A701" s="33"/>
      <c r="B701" s="34"/>
      <c r="C701" s="35"/>
      <c r="D701" s="36"/>
      <c r="E701" s="37"/>
      <c r="F701" s="38"/>
    </row>
    <row r="702" spans="1:6" x14ac:dyDescent="0.2">
      <c r="A702" s="33"/>
      <c r="B702" s="34"/>
      <c r="C702" s="35"/>
      <c r="D702" s="36"/>
      <c r="E702" s="37"/>
      <c r="F702" s="38"/>
    </row>
    <row r="703" spans="1:6" x14ac:dyDescent="0.2">
      <c r="A703" s="33"/>
      <c r="B703" s="34"/>
      <c r="C703" s="35"/>
      <c r="D703" s="36"/>
      <c r="E703" s="37"/>
      <c r="F703" s="38"/>
    </row>
    <row r="704" spans="1:6" x14ac:dyDescent="0.2">
      <c r="A704" s="33"/>
      <c r="B704" s="34"/>
      <c r="C704" s="35"/>
      <c r="D704" s="36"/>
      <c r="E704" s="37"/>
      <c r="F704" s="38"/>
    </row>
    <row r="705" spans="1:6" x14ac:dyDescent="0.2">
      <c r="A705" s="33"/>
      <c r="B705" s="34"/>
      <c r="C705" s="35"/>
      <c r="D705" s="36"/>
      <c r="E705" s="37"/>
      <c r="F705" s="38"/>
    </row>
    <row r="706" spans="1:6" x14ac:dyDescent="0.2">
      <c r="A706" s="33"/>
      <c r="B706" s="34"/>
      <c r="C706" s="35"/>
      <c r="D706" s="36"/>
      <c r="E706" s="37"/>
      <c r="F706" s="38"/>
    </row>
    <row r="707" spans="1:6" x14ac:dyDescent="0.2">
      <c r="A707" s="33"/>
      <c r="B707" s="34"/>
      <c r="C707" s="35"/>
      <c r="D707" s="36"/>
      <c r="E707" s="37"/>
      <c r="F707" s="38"/>
    </row>
    <row r="708" spans="1:6" x14ac:dyDescent="0.2">
      <c r="A708" s="33"/>
      <c r="B708" s="34"/>
      <c r="C708" s="35"/>
      <c r="D708" s="36"/>
      <c r="E708" s="37"/>
      <c r="F708" s="38"/>
    </row>
    <row r="709" spans="1:6" x14ac:dyDescent="0.2">
      <c r="A709" s="33"/>
      <c r="B709" s="34"/>
      <c r="C709" s="35"/>
      <c r="D709" s="36"/>
      <c r="E709" s="37"/>
      <c r="F709" s="38"/>
    </row>
    <row r="710" spans="1:6" x14ac:dyDescent="0.2">
      <c r="A710" s="33"/>
      <c r="B710" s="34"/>
      <c r="C710" s="35"/>
      <c r="D710" s="36"/>
      <c r="E710" s="37"/>
      <c r="F710" s="38"/>
    </row>
    <row r="711" spans="1:6" x14ac:dyDescent="0.2">
      <c r="A711" s="33"/>
      <c r="B711" s="34"/>
      <c r="C711" s="35"/>
      <c r="D711" s="36"/>
      <c r="E711" s="37"/>
      <c r="F711" s="38"/>
    </row>
    <row r="712" spans="1:6" x14ac:dyDescent="0.2">
      <c r="A712" s="33"/>
      <c r="B712" s="34"/>
      <c r="C712" s="35"/>
      <c r="D712" s="36"/>
      <c r="E712" s="37"/>
      <c r="F712" s="38"/>
    </row>
    <row r="713" spans="1:6" x14ac:dyDescent="0.2">
      <c r="A713" s="33"/>
      <c r="B713" s="34"/>
      <c r="C713" s="35"/>
      <c r="D713" s="36"/>
      <c r="E713" s="37"/>
      <c r="F713" s="38"/>
    </row>
    <row r="714" spans="1:6" x14ac:dyDescent="0.2">
      <c r="A714" s="33"/>
      <c r="B714" s="34"/>
      <c r="C714" s="35"/>
      <c r="D714" s="36"/>
      <c r="E714" s="37"/>
      <c r="F714" s="38"/>
    </row>
    <row r="715" spans="1:6" x14ac:dyDescent="0.2">
      <c r="A715" s="33"/>
      <c r="B715" s="34"/>
      <c r="C715" s="35"/>
      <c r="D715" s="36"/>
      <c r="E715" s="37"/>
      <c r="F715" s="38"/>
    </row>
    <row r="716" spans="1:6" x14ac:dyDescent="0.2">
      <c r="A716" s="33"/>
      <c r="B716" s="34"/>
      <c r="C716" s="35"/>
      <c r="D716" s="36"/>
      <c r="E716" s="37"/>
      <c r="F716" s="38"/>
    </row>
    <row r="717" spans="1:6" x14ac:dyDescent="0.2">
      <c r="A717" s="33"/>
      <c r="B717" s="34"/>
      <c r="C717" s="35"/>
      <c r="D717" s="36"/>
      <c r="E717" s="37"/>
      <c r="F717" s="38"/>
    </row>
    <row r="718" spans="1:6" x14ac:dyDescent="0.2">
      <c r="A718" s="33"/>
      <c r="B718" s="34"/>
      <c r="C718" s="35"/>
      <c r="D718" s="36"/>
      <c r="E718" s="37"/>
      <c r="F718" s="38"/>
    </row>
    <row r="719" spans="1:6" x14ac:dyDescent="0.2">
      <c r="A719" s="33"/>
      <c r="B719" s="34"/>
      <c r="C719" s="35"/>
      <c r="D719" s="36"/>
      <c r="E719" s="37"/>
      <c r="F719" s="38"/>
    </row>
    <row r="720" spans="1:6" x14ac:dyDescent="0.2">
      <c r="A720" s="33"/>
      <c r="B720" s="34"/>
      <c r="C720" s="35"/>
      <c r="D720" s="36"/>
      <c r="E720" s="37"/>
      <c r="F720" s="38"/>
    </row>
    <row r="721" spans="1:6" x14ac:dyDescent="0.2">
      <c r="A721" s="33"/>
      <c r="B721" s="34"/>
      <c r="C721" s="35"/>
      <c r="D721" s="36"/>
      <c r="E721" s="37"/>
      <c r="F721" s="38"/>
    </row>
    <row r="722" spans="1:6" x14ac:dyDescent="0.2">
      <c r="A722" s="33"/>
      <c r="B722" s="34"/>
      <c r="C722" s="35"/>
      <c r="D722" s="36"/>
      <c r="E722" s="37"/>
      <c r="F722" s="38"/>
    </row>
    <row r="723" spans="1:6" x14ac:dyDescent="0.2">
      <c r="A723" s="33"/>
      <c r="B723" s="34"/>
      <c r="C723" s="35"/>
      <c r="D723" s="36"/>
      <c r="E723" s="37"/>
      <c r="F723" s="38"/>
    </row>
    <row r="724" spans="1:6" x14ac:dyDescent="0.2">
      <c r="A724" s="33"/>
      <c r="B724" s="34"/>
      <c r="C724" s="35"/>
      <c r="D724" s="36"/>
      <c r="E724" s="37"/>
      <c r="F724" s="38"/>
    </row>
    <row r="725" spans="1:6" x14ac:dyDescent="0.2">
      <c r="A725" s="33"/>
      <c r="B725" s="34"/>
      <c r="C725" s="35"/>
      <c r="D725" s="36"/>
      <c r="E725" s="37"/>
      <c r="F725" s="38"/>
    </row>
    <row r="726" spans="1:6" x14ac:dyDescent="0.2">
      <c r="A726" s="33"/>
      <c r="B726" s="34"/>
      <c r="C726" s="35"/>
      <c r="D726" s="36"/>
      <c r="E726" s="37"/>
      <c r="F726" s="38"/>
    </row>
    <row r="727" spans="1:6" x14ac:dyDescent="0.2">
      <c r="A727" s="33"/>
      <c r="B727" s="34"/>
      <c r="C727" s="35"/>
      <c r="D727" s="36"/>
      <c r="E727" s="37"/>
      <c r="F727" s="38"/>
    </row>
    <row r="728" spans="1:6" x14ac:dyDescent="0.2">
      <c r="A728" s="33"/>
      <c r="B728" s="34"/>
      <c r="C728" s="35"/>
      <c r="D728" s="36"/>
      <c r="E728" s="37"/>
      <c r="F728" s="38"/>
    </row>
    <row r="729" spans="1:6" x14ac:dyDescent="0.2">
      <c r="A729" s="33"/>
      <c r="B729" s="34"/>
      <c r="C729" s="35"/>
      <c r="D729" s="36"/>
      <c r="E729" s="37"/>
      <c r="F729" s="38"/>
    </row>
    <row r="730" spans="1:6" x14ac:dyDescent="0.2">
      <c r="A730" s="33"/>
      <c r="B730" s="34"/>
      <c r="C730" s="35"/>
      <c r="D730" s="36"/>
      <c r="E730" s="37"/>
      <c r="F730" s="38"/>
    </row>
    <row r="731" spans="1:6" x14ac:dyDescent="0.2">
      <c r="A731" s="33"/>
      <c r="B731" s="34"/>
      <c r="C731" s="35"/>
      <c r="D731" s="36"/>
      <c r="E731" s="37"/>
      <c r="F731" s="38"/>
    </row>
    <row r="732" spans="1:6" x14ac:dyDescent="0.2">
      <c r="A732" s="33"/>
      <c r="B732" s="34"/>
      <c r="C732" s="35"/>
      <c r="D732" s="36"/>
      <c r="E732" s="37"/>
      <c r="F732" s="38"/>
    </row>
    <row r="733" spans="1:6" x14ac:dyDescent="0.2">
      <c r="A733" s="33"/>
      <c r="B733" s="34"/>
      <c r="C733" s="35"/>
      <c r="D733" s="36"/>
      <c r="E733" s="37"/>
      <c r="F733" s="38"/>
    </row>
    <row r="734" spans="1:6" x14ac:dyDescent="0.2">
      <c r="A734" s="33"/>
      <c r="B734" s="34"/>
      <c r="C734" s="35"/>
      <c r="D734" s="36"/>
      <c r="E734" s="37"/>
      <c r="F734" s="38"/>
    </row>
    <row r="735" spans="1:6" x14ac:dyDescent="0.2">
      <c r="A735" s="33"/>
      <c r="B735" s="34"/>
      <c r="C735" s="35"/>
      <c r="D735" s="36"/>
      <c r="E735" s="37"/>
      <c r="F735" s="38"/>
    </row>
    <row r="736" spans="1:6" x14ac:dyDescent="0.2">
      <c r="A736" s="33"/>
      <c r="B736" s="34"/>
      <c r="C736" s="35"/>
      <c r="D736" s="36"/>
      <c r="E736" s="37"/>
      <c r="F736" s="38"/>
    </row>
    <row r="737" spans="1:6" x14ac:dyDescent="0.2">
      <c r="A737" s="33"/>
      <c r="B737" s="34"/>
      <c r="C737" s="35"/>
      <c r="D737" s="36"/>
      <c r="E737" s="37"/>
      <c r="F737" s="38"/>
    </row>
    <row r="738" spans="1:6" x14ac:dyDescent="0.2">
      <c r="A738" s="33"/>
      <c r="B738" s="34"/>
      <c r="C738" s="35"/>
      <c r="D738" s="36"/>
      <c r="E738" s="37"/>
      <c r="F738" s="38"/>
    </row>
    <row r="739" spans="1:6" x14ac:dyDescent="0.2">
      <c r="A739" s="33"/>
      <c r="B739" s="34"/>
      <c r="C739" s="35"/>
      <c r="D739" s="36"/>
      <c r="E739" s="37"/>
      <c r="F739" s="38"/>
    </row>
    <row r="740" spans="1:6" x14ac:dyDescent="0.2">
      <c r="A740" s="33"/>
      <c r="B740" s="34"/>
      <c r="C740" s="35"/>
      <c r="D740" s="36"/>
      <c r="E740" s="37"/>
      <c r="F740" s="38"/>
    </row>
    <row r="741" spans="1:6" x14ac:dyDescent="0.2">
      <c r="A741" s="33"/>
      <c r="B741" s="34"/>
      <c r="C741" s="35"/>
      <c r="D741" s="36"/>
      <c r="E741" s="37"/>
      <c r="F741" s="38"/>
    </row>
    <row r="742" spans="1:6" x14ac:dyDescent="0.2">
      <c r="A742" s="33"/>
      <c r="B742" s="34"/>
      <c r="C742" s="35"/>
      <c r="D742" s="36"/>
      <c r="E742" s="37"/>
      <c r="F742" s="38"/>
    </row>
    <row r="743" spans="1:6" x14ac:dyDescent="0.2">
      <c r="A743" s="33"/>
      <c r="B743" s="34"/>
      <c r="C743" s="35"/>
      <c r="D743" s="36"/>
      <c r="E743" s="37"/>
      <c r="F743" s="38"/>
    </row>
    <row r="744" spans="1:6" x14ac:dyDescent="0.2">
      <c r="A744" s="33"/>
      <c r="B744" s="34"/>
      <c r="C744" s="35"/>
      <c r="D744" s="36"/>
      <c r="E744" s="37"/>
      <c r="F744" s="38"/>
    </row>
    <row r="745" spans="1:6" x14ac:dyDescent="0.2">
      <c r="A745" s="33"/>
      <c r="B745" s="34"/>
      <c r="C745" s="35"/>
      <c r="D745" s="36"/>
      <c r="E745" s="37"/>
      <c r="F745" s="38"/>
    </row>
    <row r="746" spans="1:6" x14ac:dyDescent="0.2">
      <c r="A746" s="33"/>
      <c r="B746" s="34"/>
      <c r="C746" s="35"/>
      <c r="D746" s="36"/>
      <c r="E746" s="37"/>
      <c r="F746" s="38"/>
    </row>
    <row r="747" spans="1:6" x14ac:dyDescent="0.2">
      <c r="A747" s="33"/>
      <c r="B747" s="34"/>
      <c r="C747" s="35"/>
      <c r="D747" s="36"/>
      <c r="E747" s="37"/>
      <c r="F747" s="38"/>
    </row>
    <row r="748" spans="1:6" x14ac:dyDescent="0.2">
      <c r="A748" s="33"/>
      <c r="B748" s="34"/>
      <c r="C748" s="35"/>
      <c r="D748" s="36"/>
      <c r="E748" s="37"/>
      <c r="F748" s="38"/>
    </row>
    <row r="749" spans="1:6" x14ac:dyDescent="0.2">
      <c r="A749" s="33"/>
      <c r="B749" s="34"/>
      <c r="C749" s="35"/>
      <c r="D749" s="36"/>
      <c r="E749" s="37"/>
      <c r="F749" s="38"/>
    </row>
    <row r="750" spans="1:6" x14ac:dyDescent="0.2">
      <c r="A750" s="33"/>
      <c r="B750" s="34"/>
      <c r="C750" s="35"/>
      <c r="D750" s="36"/>
      <c r="E750" s="37"/>
      <c r="F750" s="38"/>
    </row>
    <row r="751" spans="1:6" x14ac:dyDescent="0.2">
      <c r="A751" s="33"/>
      <c r="B751" s="34"/>
      <c r="C751" s="35"/>
      <c r="D751" s="36"/>
      <c r="E751" s="37"/>
      <c r="F751" s="38"/>
    </row>
    <row r="752" spans="1:6" x14ac:dyDescent="0.2">
      <c r="A752" s="33"/>
      <c r="B752" s="34"/>
      <c r="C752" s="35"/>
      <c r="D752" s="36"/>
      <c r="E752" s="37"/>
      <c r="F752" s="38"/>
    </row>
    <row r="753" spans="1:6" x14ac:dyDescent="0.2">
      <c r="A753" s="33"/>
      <c r="B753" s="34"/>
      <c r="C753" s="35"/>
      <c r="D753" s="36"/>
      <c r="E753" s="37"/>
      <c r="F753" s="38"/>
    </row>
    <row r="754" spans="1:6" x14ac:dyDescent="0.2">
      <c r="A754" s="33"/>
      <c r="B754" s="34"/>
      <c r="C754" s="35"/>
      <c r="D754" s="36"/>
      <c r="E754" s="37"/>
      <c r="F754" s="38"/>
    </row>
    <row r="755" spans="1:6" x14ac:dyDescent="0.2">
      <c r="A755" s="33"/>
      <c r="B755" s="34"/>
      <c r="C755" s="35"/>
      <c r="D755" s="36"/>
      <c r="E755" s="37"/>
      <c r="F755" s="38"/>
    </row>
    <row r="756" spans="1:6" x14ac:dyDescent="0.2">
      <c r="A756" s="33"/>
      <c r="B756" s="34"/>
      <c r="C756" s="35"/>
      <c r="D756" s="36"/>
      <c r="E756" s="37"/>
      <c r="F756" s="38"/>
    </row>
    <row r="757" spans="1:6" x14ac:dyDescent="0.2">
      <c r="A757" s="33"/>
      <c r="B757" s="34"/>
      <c r="C757" s="35"/>
      <c r="D757" s="36"/>
      <c r="E757" s="37"/>
      <c r="F757" s="38"/>
    </row>
    <row r="758" spans="1:6" x14ac:dyDescent="0.2">
      <c r="A758" s="33"/>
      <c r="B758" s="34"/>
      <c r="C758" s="35"/>
      <c r="D758" s="36"/>
      <c r="E758" s="37"/>
      <c r="F758" s="38"/>
    </row>
    <row r="759" spans="1:6" x14ac:dyDescent="0.2">
      <c r="A759" s="33"/>
      <c r="B759" s="34"/>
      <c r="C759" s="35"/>
      <c r="D759" s="36"/>
      <c r="E759" s="37"/>
      <c r="F759" s="38"/>
    </row>
    <row r="760" spans="1:6" x14ac:dyDescent="0.2">
      <c r="A760" s="33"/>
      <c r="B760" s="34"/>
      <c r="C760" s="35"/>
      <c r="D760" s="36"/>
      <c r="E760" s="37"/>
      <c r="F760" s="38"/>
    </row>
    <row r="761" spans="1:6" x14ac:dyDescent="0.2">
      <c r="A761" s="33"/>
      <c r="B761" s="34"/>
      <c r="C761" s="35"/>
      <c r="D761" s="36"/>
      <c r="E761" s="37"/>
      <c r="F761" s="38"/>
    </row>
    <row r="762" spans="1:6" x14ac:dyDescent="0.2">
      <c r="A762" s="33"/>
      <c r="B762" s="34"/>
      <c r="C762" s="35"/>
      <c r="D762" s="36"/>
      <c r="E762" s="37"/>
      <c r="F762" s="38"/>
    </row>
    <row r="763" spans="1:6" x14ac:dyDescent="0.2">
      <c r="A763" s="33"/>
      <c r="B763" s="34"/>
      <c r="C763" s="35"/>
      <c r="D763" s="36"/>
      <c r="E763" s="37"/>
      <c r="F763" s="38"/>
    </row>
    <row r="764" spans="1:6" x14ac:dyDescent="0.2">
      <c r="A764" s="33"/>
      <c r="B764" s="34"/>
      <c r="C764" s="35"/>
      <c r="D764" s="36"/>
      <c r="E764" s="37"/>
      <c r="F764" s="38"/>
    </row>
    <row r="765" spans="1:6" x14ac:dyDescent="0.2">
      <c r="A765" s="33"/>
      <c r="B765" s="34"/>
      <c r="C765" s="35"/>
      <c r="D765" s="36"/>
      <c r="E765" s="37"/>
      <c r="F765" s="38"/>
    </row>
    <row r="766" spans="1:6" x14ac:dyDescent="0.2">
      <c r="A766" s="33"/>
      <c r="B766" s="34"/>
      <c r="C766" s="35"/>
      <c r="D766" s="36"/>
      <c r="E766" s="37"/>
      <c r="F766" s="38"/>
    </row>
    <row r="767" spans="1:6" x14ac:dyDescent="0.2">
      <c r="A767" s="33"/>
      <c r="B767" s="34"/>
      <c r="C767" s="35"/>
      <c r="D767" s="36"/>
      <c r="E767" s="37"/>
      <c r="F767" s="38"/>
    </row>
    <row r="768" spans="1:6" x14ac:dyDescent="0.2">
      <c r="A768" s="33"/>
      <c r="B768" s="34"/>
      <c r="C768" s="35"/>
      <c r="D768" s="36"/>
      <c r="E768" s="37"/>
      <c r="F768" s="38"/>
    </row>
    <row r="769" spans="1:6" x14ac:dyDescent="0.2">
      <c r="A769" s="33"/>
      <c r="B769" s="34"/>
      <c r="C769" s="35"/>
      <c r="D769" s="36"/>
      <c r="E769" s="37"/>
      <c r="F769" s="38"/>
    </row>
    <row r="770" spans="1:6" x14ac:dyDescent="0.2">
      <c r="A770" s="33"/>
      <c r="B770" s="34"/>
      <c r="C770" s="35"/>
      <c r="D770" s="36"/>
      <c r="E770" s="37"/>
      <c r="F770" s="38"/>
    </row>
    <row r="771" spans="1:6" x14ac:dyDescent="0.2">
      <c r="A771" s="33"/>
      <c r="B771" s="34"/>
      <c r="C771" s="35"/>
      <c r="D771" s="36"/>
      <c r="E771" s="37"/>
      <c r="F771" s="38"/>
    </row>
    <row r="772" spans="1:6" x14ac:dyDescent="0.2">
      <c r="A772" s="33"/>
      <c r="B772" s="34"/>
      <c r="C772" s="35"/>
      <c r="D772" s="36"/>
      <c r="E772" s="37"/>
      <c r="F772" s="38"/>
    </row>
    <row r="773" spans="1:6" x14ac:dyDescent="0.2">
      <c r="A773" s="33"/>
      <c r="B773" s="34"/>
      <c r="C773" s="35"/>
      <c r="D773" s="36"/>
      <c r="E773" s="37"/>
      <c r="F773" s="38"/>
    </row>
    <row r="774" spans="1:6" x14ac:dyDescent="0.2">
      <c r="A774" s="33"/>
      <c r="B774" s="34"/>
      <c r="C774" s="35"/>
      <c r="D774" s="36"/>
      <c r="E774" s="37"/>
      <c r="F774" s="38"/>
    </row>
    <row r="775" spans="1:6" x14ac:dyDescent="0.2">
      <c r="A775" s="33"/>
      <c r="B775" s="34"/>
      <c r="C775" s="35"/>
      <c r="D775" s="36"/>
      <c r="E775" s="37"/>
      <c r="F775" s="38"/>
    </row>
    <row r="776" spans="1:6" x14ac:dyDescent="0.2">
      <c r="A776" s="33"/>
      <c r="B776" s="34"/>
      <c r="C776" s="35"/>
      <c r="D776" s="36"/>
      <c r="E776" s="37"/>
      <c r="F776" s="38"/>
    </row>
    <row r="777" spans="1:6" x14ac:dyDescent="0.2">
      <c r="A777" s="33"/>
      <c r="B777" s="34"/>
      <c r="C777" s="35"/>
      <c r="D777" s="36"/>
      <c r="E777" s="37"/>
      <c r="F777" s="38"/>
    </row>
    <row r="778" spans="1:6" x14ac:dyDescent="0.2">
      <c r="A778" s="33"/>
      <c r="B778" s="34"/>
      <c r="C778" s="35"/>
      <c r="D778" s="36"/>
      <c r="E778" s="37"/>
      <c r="F778" s="38"/>
    </row>
    <row r="779" spans="1:6" x14ac:dyDescent="0.2">
      <c r="A779" s="33"/>
      <c r="B779" s="34"/>
      <c r="C779" s="35"/>
      <c r="D779" s="36"/>
      <c r="E779" s="37"/>
      <c r="F779" s="38"/>
    </row>
    <row r="780" spans="1:6" x14ac:dyDescent="0.2">
      <c r="A780" s="33"/>
      <c r="B780" s="34"/>
      <c r="C780" s="35"/>
      <c r="D780" s="36"/>
      <c r="E780" s="37"/>
      <c r="F780" s="38"/>
    </row>
    <row r="781" spans="1:6" x14ac:dyDescent="0.2">
      <c r="A781" s="33"/>
      <c r="B781" s="34"/>
      <c r="C781" s="35"/>
      <c r="D781" s="36"/>
      <c r="E781" s="37"/>
      <c r="F781" s="38"/>
    </row>
    <row r="782" spans="1:6" x14ac:dyDescent="0.2">
      <c r="A782" s="33"/>
      <c r="B782" s="34"/>
      <c r="C782" s="35"/>
      <c r="D782" s="36"/>
      <c r="E782" s="37"/>
      <c r="F782" s="38"/>
    </row>
    <row r="783" spans="1:6" x14ac:dyDescent="0.2">
      <c r="A783" s="33"/>
      <c r="B783" s="34"/>
      <c r="C783" s="35"/>
      <c r="D783" s="36"/>
      <c r="E783" s="37"/>
      <c r="F783" s="38"/>
    </row>
    <row r="784" spans="1:6" x14ac:dyDescent="0.2">
      <c r="A784" s="33"/>
      <c r="B784" s="34"/>
      <c r="C784" s="35"/>
      <c r="D784" s="36"/>
      <c r="E784" s="37"/>
      <c r="F784" s="38"/>
    </row>
    <row r="785" spans="1:6" x14ac:dyDescent="0.2">
      <c r="A785" s="33"/>
      <c r="B785" s="34"/>
      <c r="C785" s="35"/>
      <c r="D785" s="36"/>
      <c r="E785" s="37"/>
      <c r="F785" s="38"/>
    </row>
    <row r="786" spans="1:6" x14ac:dyDescent="0.2">
      <c r="A786" s="33"/>
      <c r="B786" s="34"/>
      <c r="C786" s="35"/>
      <c r="D786" s="36"/>
      <c r="E786" s="37"/>
      <c r="F786" s="38"/>
    </row>
    <row r="787" spans="1:6" x14ac:dyDescent="0.2">
      <c r="A787" s="33"/>
      <c r="B787" s="34"/>
      <c r="C787" s="35"/>
      <c r="D787" s="36"/>
      <c r="E787" s="37"/>
      <c r="F787" s="38"/>
    </row>
    <row r="788" spans="1:6" x14ac:dyDescent="0.2">
      <c r="A788" s="33"/>
      <c r="B788" s="34"/>
      <c r="C788" s="35"/>
      <c r="D788" s="36"/>
      <c r="E788" s="37"/>
      <c r="F788" s="38"/>
    </row>
    <row r="789" spans="1:6" x14ac:dyDescent="0.2">
      <c r="A789" s="33"/>
      <c r="B789" s="34"/>
      <c r="C789" s="35"/>
      <c r="D789" s="36"/>
      <c r="E789" s="37"/>
      <c r="F789" s="38"/>
    </row>
    <row r="790" spans="1:6" x14ac:dyDescent="0.2">
      <c r="A790" s="33"/>
      <c r="B790" s="34"/>
      <c r="C790" s="35"/>
      <c r="D790" s="36"/>
      <c r="E790" s="37"/>
      <c r="F790" s="38"/>
    </row>
    <row r="791" spans="1:6" x14ac:dyDescent="0.2">
      <c r="A791" s="33"/>
      <c r="B791" s="34"/>
      <c r="C791" s="35"/>
      <c r="D791" s="36"/>
      <c r="E791" s="37"/>
      <c r="F791" s="38"/>
    </row>
    <row r="792" spans="1:6" x14ac:dyDescent="0.2">
      <c r="A792" s="33"/>
      <c r="B792" s="34"/>
      <c r="C792" s="35"/>
      <c r="D792" s="36"/>
      <c r="E792" s="37"/>
      <c r="F792" s="38"/>
    </row>
    <row r="793" spans="1:6" x14ac:dyDescent="0.2">
      <c r="A793" s="33"/>
      <c r="B793" s="34"/>
      <c r="C793" s="35"/>
      <c r="D793" s="36"/>
      <c r="E793" s="37"/>
      <c r="F793" s="38"/>
    </row>
    <row r="794" spans="1:6" x14ac:dyDescent="0.2">
      <c r="A794" s="33"/>
      <c r="B794" s="34"/>
      <c r="C794" s="35"/>
      <c r="D794" s="36"/>
      <c r="E794" s="37"/>
      <c r="F794" s="38"/>
    </row>
    <row r="795" spans="1:6" x14ac:dyDescent="0.2">
      <c r="A795" s="33"/>
      <c r="B795" s="34"/>
      <c r="C795" s="35"/>
      <c r="D795" s="36"/>
      <c r="E795" s="37"/>
      <c r="F795" s="38"/>
    </row>
    <row r="796" spans="1:6" x14ac:dyDescent="0.2">
      <c r="A796" s="33"/>
      <c r="B796" s="34"/>
      <c r="C796" s="35"/>
      <c r="D796" s="36"/>
      <c r="E796" s="37"/>
      <c r="F796" s="38"/>
    </row>
    <row r="797" spans="1:6" x14ac:dyDescent="0.2">
      <c r="A797" s="33"/>
      <c r="B797" s="34"/>
      <c r="C797" s="35"/>
      <c r="D797" s="36"/>
      <c r="E797" s="37"/>
      <c r="F797" s="38"/>
    </row>
    <row r="798" spans="1:6" x14ac:dyDescent="0.2">
      <c r="A798" s="33"/>
      <c r="B798" s="34"/>
      <c r="C798" s="35"/>
      <c r="D798" s="36"/>
      <c r="E798" s="37"/>
      <c r="F798" s="38"/>
    </row>
    <row r="799" spans="1:6" x14ac:dyDescent="0.2">
      <c r="A799" s="33"/>
      <c r="B799" s="34"/>
      <c r="C799" s="35"/>
      <c r="D799" s="36"/>
      <c r="E799" s="37"/>
      <c r="F799" s="38"/>
    </row>
    <row r="800" spans="1:6" x14ac:dyDescent="0.2">
      <c r="A800" s="33"/>
      <c r="B800" s="34"/>
      <c r="C800" s="35"/>
      <c r="D800" s="36"/>
      <c r="E800" s="37"/>
      <c r="F800" s="38"/>
    </row>
    <row r="801" spans="1:6" x14ac:dyDescent="0.2">
      <c r="A801" s="33"/>
      <c r="B801" s="34"/>
      <c r="C801" s="35"/>
      <c r="D801" s="36"/>
      <c r="E801" s="37"/>
      <c r="F801" s="38"/>
    </row>
    <row r="802" spans="1:6" x14ac:dyDescent="0.2">
      <c r="A802" s="33"/>
      <c r="B802" s="34"/>
      <c r="C802" s="35"/>
      <c r="D802" s="36"/>
      <c r="E802" s="37"/>
      <c r="F802" s="38"/>
    </row>
    <row r="803" spans="1:6" x14ac:dyDescent="0.2">
      <c r="A803" s="33"/>
      <c r="B803" s="34"/>
      <c r="C803" s="35"/>
      <c r="D803" s="36"/>
      <c r="E803" s="37"/>
      <c r="F803" s="38"/>
    </row>
    <row r="804" spans="1:6" x14ac:dyDescent="0.2">
      <c r="A804" s="33"/>
      <c r="B804" s="34"/>
      <c r="C804" s="35"/>
      <c r="D804" s="36"/>
      <c r="E804" s="37"/>
      <c r="F804" s="38"/>
    </row>
    <row r="805" spans="1:6" x14ac:dyDescent="0.2">
      <c r="A805" s="33"/>
      <c r="B805" s="34"/>
      <c r="C805" s="35"/>
      <c r="D805" s="36"/>
      <c r="E805" s="37"/>
      <c r="F805" s="38"/>
    </row>
    <row r="806" spans="1:6" x14ac:dyDescent="0.2">
      <c r="A806" s="33"/>
      <c r="B806" s="34"/>
      <c r="C806" s="35"/>
      <c r="D806" s="36"/>
      <c r="E806" s="37"/>
      <c r="F806" s="38"/>
    </row>
    <row r="807" spans="1:6" x14ac:dyDescent="0.2">
      <c r="A807" s="33"/>
      <c r="B807" s="34"/>
      <c r="C807" s="35"/>
      <c r="D807" s="36"/>
      <c r="E807" s="37"/>
      <c r="F807" s="38"/>
    </row>
    <row r="808" spans="1:6" x14ac:dyDescent="0.2">
      <c r="A808" s="33"/>
      <c r="B808" s="34"/>
      <c r="C808" s="35"/>
      <c r="D808" s="36"/>
      <c r="E808" s="37"/>
      <c r="F808" s="38"/>
    </row>
    <row r="809" spans="1:6" x14ac:dyDescent="0.2">
      <c r="A809" s="33"/>
      <c r="B809" s="34"/>
      <c r="C809" s="35"/>
      <c r="D809" s="36"/>
      <c r="E809" s="37"/>
      <c r="F809" s="38"/>
    </row>
    <row r="810" spans="1:6" x14ac:dyDescent="0.2">
      <c r="A810" s="33"/>
      <c r="B810" s="34"/>
      <c r="C810" s="35"/>
      <c r="D810" s="36"/>
      <c r="E810" s="37"/>
      <c r="F810" s="38"/>
    </row>
    <row r="811" spans="1:6" x14ac:dyDescent="0.2">
      <c r="A811" s="33"/>
      <c r="B811" s="34"/>
      <c r="C811" s="35"/>
      <c r="D811" s="36"/>
      <c r="E811" s="37"/>
      <c r="F811" s="38"/>
    </row>
    <row r="812" spans="1:6" x14ac:dyDescent="0.2">
      <c r="A812" s="33"/>
      <c r="B812" s="34"/>
      <c r="C812" s="35"/>
      <c r="D812" s="36"/>
      <c r="E812" s="37"/>
      <c r="F812" s="38"/>
    </row>
    <row r="813" spans="1:6" x14ac:dyDescent="0.2">
      <c r="A813" s="33"/>
      <c r="B813" s="34"/>
      <c r="C813" s="35"/>
      <c r="D813" s="36"/>
      <c r="E813" s="37"/>
      <c r="F813" s="38"/>
    </row>
    <row r="814" spans="1:6" x14ac:dyDescent="0.2">
      <c r="A814" s="33"/>
      <c r="B814" s="34"/>
      <c r="C814" s="35"/>
      <c r="D814" s="36"/>
      <c r="E814" s="37"/>
      <c r="F814" s="38"/>
    </row>
    <row r="815" spans="1:6" x14ac:dyDescent="0.2">
      <c r="A815" s="33"/>
      <c r="B815" s="34"/>
      <c r="C815" s="35"/>
      <c r="D815" s="36"/>
      <c r="E815" s="37"/>
      <c r="F815" s="38"/>
    </row>
    <row r="816" spans="1:6" x14ac:dyDescent="0.2">
      <c r="A816" s="33"/>
      <c r="B816" s="34"/>
      <c r="C816" s="35"/>
      <c r="D816" s="36"/>
      <c r="E816" s="37"/>
      <c r="F816" s="38"/>
    </row>
    <row r="817" spans="1:6" x14ac:dyDescent="0.2">
      <c r="A817" s="33"/>
      <c r="B817" s="34"/>
      <c r="C817" s="35"/>
      <c r="D817" s="36"/>
      <c r="E817" s="37"/>
      <c r="F817" s="38"/>
    </row>
    <row r="818" spans="1:6" x14ac:dyDescent="0.2">
      <c r="A818" s="33"/>
      <c r="B818" s="34"/>
      <c r="C818" s="35"/>
      <c r="D818" s="36"/>
      <c r="E818" s="37"/>
      <c r="F818" s="38"/>
    </row>
    <row r="819" spans="1:6" x14ac:dyDescent="0.2">
      <c r="A819" s="33"/>
      <c r="B819" s="34"/>
      <c r="C819" s="35"/>
      <c r="D819" s="36"/>
      <c r="E819" s="37"/>
      <c r="F819" s="38"/>
    </row>
    <row r="820" spans="1:6" x14ac:dyDescent="0.2">
      <c r="A820" s="33"/>
      <c r="B820" s="34"/>
      <c r="C820" s="35"/>
      <c r="D820" s="36"/>
      <c r="E820" s="37"/>
      <c r="F820" s="38"/>
    </row>
    <row r="821" spans="1:6" x14ac:dyDescent="0.2">
      <c r="A821" s="33"/>
      <c r="B821" s="34"/>
      <c r="C821" s="35"/>
      <c r="D821" s="36"/>
      <c r="E821" s="37"/>
      <c r="F821" s="38"/>
    </row>
    <row r="822" spans="1:6" x14ac:dyDescent="0.2">
      <c r="A822" s="33"/>
      <c r="B822" s="34"/>
      <c r="C822" s="35"/>
      <c r="D822" s="36"/>
      <c r="E822" s="37"/>
      <c r="F822" s="38"/>
    </row>
    <row r="823" spans="1:6" x14ac:dyDescent="0.2">
      <c r="A823" s="33"/>
      <c r="B823" s="34"/>
      <c r="C823" s="35"/>
      <c r="D823" s="36"/>
      <c r="E823" s="37"/>
      <c r="F823" s="38"/>
    </row>
    <row r="824" spans="1:6" x14ac:dyDescent="0.2">
      <c r="A824" s="33"/>
      <c r="B824" s="34"/>
      <c r="C824" s="35"/>
      <c r="D824" s="36"/>
      <c r="E824" s="37"/>
      <c r="F824" s="38"/>
    </row>
    <row r="825" spans="1:6" x14ac:dyDescent="0.2">
      <c r="A825" s="33"/>
      <c r="B825" s="34"/>
      <c r="C825" s="35"/>
      <c r="D825" s="36"/>
      <c r="E825" s="37"/>
      <c r="F825" s="38"/>
    </row>
    <row r="826" spans="1:6" x14ac:dyDescent="0.2">
      <c r="A826" s="33"/>
      <c r="B826" s="34"/>
      <c r="C826" s="35"/>
      <c r="D826" s="36"/>
      <c r="E826" s="37"/>
      <c r="F826" s="38"/>
    </row>
    <row r="827" spans="1:6" x14ac:dyDescent="0.2">
      <c r="A827" s="33"/>
      <c r="B827" s="34"/>
      <c r="C827" s="35"/>
      <c r="D827" s="36"/>
      <c r="E827" s="37"/>
      <c r="F827" s="38"/>
    </row>
    <row r="828" spans="1:6" x14ac:dyDescent="0.2">
      <c r="A828" s="33"/>
      <c r="B828" s="34"/>
      <c r="C828" s="35"/>
      <c r="D828" s="36"/>
      <c r="E828" s="37"/>
      <c r="F828" s="38"/>
    </row>
    <row r="829" spans="1:6" x14ac:dyDescent="0.2">
      <c r="A829" s="33"/>
      <c r="B829" s="34"/>
      <c r="C829" s="35"/>
      <c r="D829" s="36"/>
      <c r="E829" s="37"/>
      <c r="F829" s="38"/>
    </row>
    <row r="830" spans="1:6" x14ac:dyDescent="0.2">
      <c r="A830" s="33"/>
      <c r="B830" s="34"/>
      <c r="C830" s="35"/>
      <c r="D830" s="36"/>
      <c r="E830" s="37"/>
      <c r="F830" s="38"/>
    </row>
    <row r="831" spans="1:6" x14ac:dyDescent="0.2">
      <c r="A831" s="33"/>
      <c r="B831" s="34"/>
      <c r="C831" s="35"/>
      <c r="D831" s="36"/>
      <c r="E831" s="37"/>
      <c r="F831" s="38"/>
    </row>
    <row r="832" spans="1:6" x14ac:dyDescent="0.2">
      <c r="A832" s="33"/>
      <c r="B832" s="34"/>
      <c r="C832" s="35"/>
      <c r="D832" s="36"/>
      <c r="E832" s="37"/>
      <c r="F832" s="38"/>
    </row>
    <row r="833" spans="1:6" x14ac:dyDescent="0.2">
      <c r="A833" s="33"/>
      <c r="B833" s="34"/>
      <c r="C833" s="35"/>
      <c r="D833" s="36"/>
      <c r="E833" s="37"/>
      <c r="F833" s="38"/>
    </row>
    <row r="834" spans="1:6" x14ac:dyDescent="0.2">
      <c r="A834" s="33"/>
      <c r="B834" s="34"/>
      <c r="C834" s="35"/>
      <c r="D834" s="36"/>
      <c r="E834" s="37"/>
      <c r="F834" s="38"/>
    </row>
    <row r="835" spans="1:6" x14ac:dyDescent="0.2">
      <c r="A835" s="33"/>
      <c r="B835" s="34"/>
      <c r="C835" s="35"/>
      <c r="D835" s="36"/>
      <c r="E835" s="37"/>
      <c r="F835" s="38"/>
    </row>
    <row r="836" spans="1:6" x14ac:dyDescent="0.2">
      <c r="A836" s="33"/>
      <c r="B836" s="34"/>
      <c r="C836" s="35"/>
      <c r="D836" s="36"/>
      <c r="E836" s="37"/>
      <c r="F836" s="38"/>
    </row>
    <row r="837" spans="1:6" x14ac:dyDescent="0.2">
      <c r="A837" s="33"/>
      <c r="B837" s="34"/>
      <c r="C837" s="35"/>
      <c r="D837" s="36"/>
      <c r="E837" s="37"/>
      <c r="F837" s="38"/>
    </row>
    <row r="838" spans="1:6" x14ac:dyDescent="0.2">
      <c r="A838" s="33"/>
      <c r="B838" s="34"/>
      <c r="C838" s="35"/>
      <c r="D838" s="36"/>
      <c r="E838" s="37"/>
      <c r="F838" s="38"/>
    </row>
    <row r="839" spans="1:6" x14ac:dyDescent="0.2">
      <c r="A839" s="33"/>
      <c r="B839" s="34"/>
      <c r="C839" s="35"/>
      <c r="D839" s="36"/>
      <c r="E839" s="37"/>
      <c r="F839" s="38"/>
    </row>
    <row r="840" spans="1:6" x14ac:dyDescent="0.2">
      <c r="A840" s="33"/>
      <c r="B840" s="34"/>
      <c r="C840" s="35"/>
      <c r="D840" s="36"/>
      <c r="E840" s="37"/>
      <c r="F840" s="38"/>
    </row>
    <row r="841" spans="1:6" x14ac:dyDescent="0.2">
      <c r="A841" s="33"/>
      <c r="B841" s="34"/>
      <c r="C841" s="35"/>
      <c r="D841" s="36"/>
      <c r="E841" s="37"/>
      <c r="F841" s="38"/>
    </row>
    <row r="842" spans="1:6" x14ac:dyDescent="0.2">
      <c r="A842" s="33"/>
      <c r="B842" s="34"/>
      <c r="C842" s="35"/>
      <c r="D842" s="36"/>
      <c r="E842" s="37"/>
      <c r="F842" s="38"/>
    </row>
    <row r="843" spans="1:6" x14ac:dyDescent="0.2">
      <c r="A843" s="33"/>
      <c r="B843" s="34"/>
      <c r="C843" s="35"/>
      <c r="D843" s="36"/>
      <c r="E843" s="37"/>
      <c r="F843" s="38"/>
    </row>
    <row r="844" spans="1:6" x14ac:dyDescent="0.2">
      <c r="A844" s="33"/>
      <c r="B844" s="34"/>
      <c r="C844" s="35"/>
      <c r="D844" s="36"/>
      <c r="E844" s="37"/>
      <c r="F844" s="38"/>
    </row>
    <row r="845" spans="1:6" x14ac:dyDescent="0.2">
      <c r="A845" s="33"/>
      <c r="B845" s="34"/>
      <c r="C845" s="35"/>
      <c r="D845" s="36"/>
      <c r="E845" s="37"/>
      <c r="F845" s="38"/>
    </row>
    <row r="846" spans="1:6" x14ac:dyDescent="0.2">
      <c r="A846" s="33"/>
      <c r="B846" s="34"/>
      <c r="C846" s="35"/>
      <c r="D846" s="36"/>
      <c r="E846" s="37"/>
      <c r="F846" s="38"/>
    </row>
    <row r="847" spans="1:6" x14ac:dyDescent="0.2">
      <c r="A847" s="33"/>
      <c r="B847" s="34"/>
      <c r="C847" s="35"/>
      <c r="D847" s="36"/>
      <c r="E847" s="37"/>
      <c r="F847" s="38"/>
    </row>
    <row r="848" spans="1:6" x14ac:dyDescent="0.2">
      <c r="A848" s="33"/>
      <c r="B848" s="34"/>
      <c r="C848" s="35"/>
      <c r="D848" s="36"/>
      <c r="E848" s="37"/>
      <c r="F848" s="38"/>
    </row>
    <row r="849" spans="1:6" x14ac:dyDescent="0.2">
      <c r="A849" s="33"/>
      <c r="B849" s="34"/>
      <c r="C849" s="35"/>
      <c r="D849" s="36"/>
      <c r="E849" s="37"/>
      <c r="F849" s="38"/>
    </row>
    <row r="850" spans="1:6" x14ac:dyDescent="0.2">
      <c r="A850" s="33"/>
      <c r="B850" s="34"/>
      <c r="C850" s="35"/>
      <c r="D850" s="36"/>
      <c r="E850" s="37"/>
      <c r="F850" s="38"/>
    </row>
    <row r="851" spans="1:6" x14ac:dyDescent="0.2">
      <c r="A851" s="33"/>
      <c r="B851" s="34"/>
      <c r="C851" s="35"/>
      <c r="D851" s="36"/>
      <c r="E851" s="37"/>
      <c r="F851" s="38"/>
    </row>
    <row r="852" spans="1:6" x14ac:dyDescent="0.2">
      <c r="A852" s="33"/>
      <c r="B852" s="34"/>
      <c r="C852" s="35"/>
      <c r="D852" s="36"/>
      <c r="E852" s="37"/>
      <c r="F852" s="38"/>
    </row>
    <row r="853" spans="1:6" x14ac:dyDescent="0.2">
      <c r="A853" s="33"/>
      <c r="B853" s="34"/>
      <c r="C853" s="35"/>
      <c r="D853" s="36"/>
      <c r="E853" s="37"/>
      <c r="F853" s="38"/>
    </row>
    <row r="854" spans="1:6" x14ac:dyDescent="0.2">
      <c r="A854" s="33"/>
      <c r="B854" s="34"/>
      <c r="C854" s="35"/>
      <c r="D854" s="36"/>
      <c r="E854" s="37"/>
      <c r="F854" s="38"/>
    </row>
    <row r="855" spans="1:6" x14ac:dyDescent="0.2">
      <c r="A855" s="33"/>
      <c r="B855" s="34"/>
      <c r="C855" s="35"/>
      <c r="D855" s="36"/>
      <c r="E855" s="37"/>
      <c r="F855" s="38"/>
    </row>
    <row r="856" spans="1:6" x14ac:dyDescent="0.2">
      <c r="A856" s="33"/>
      <c r="B856" s="34"/>
      <c r="C856" s="35"/>
      <c r="D856" s="36"/>
      <c r="E856" s="37"/>
      <c r="F856" s="38"/>
    </row>
    <row r="857" spans="1:6" x14ac:dyDescent="0.2">
      <c r="A857" s="33"/>
      <c r="B857" s="34"/>
      <c r="C857" s="35"/>
      <c r="D857" s="36"/>
      <c r="E857" s="37"/>
      <c r="F857" s="38"/>
    </row>
    <row r="858" spans="1:6" x14ac:dyDescent="0.2">
      <c r="A858" s="33"/>
      <c r="B858" s="34"/>
      <c r="C858" s="35"/>
      <c r="D858" s="36"/>
      <c r="E858" s="37"/>
      <c r="F858" s="38"/>
    </row>
    <row r="859" spans="1:6" x14ac:dyDescent="0.2">
      <c r="A859" s="33"/>
      <c r="B859" s="34"/>
      <c r="C859" s="35"/>
      <c r="D859" s="36"/>
      <c r="E859" s="37"/>
      <c r="F859" s="38"/>
    </row>
    <row r="860" spans="1:6" x14ac:dyDescent="0.2">
      <c r="A860" s="33"/>
      <c r="B860" s="34"/>
      <c r="C860" s="35"/>
      <c r="D860" s="36"/>
      <c r="E860" s="37"/>
      <c r="F860" s="38"/>
    </row>
    <row r="861" spans="1:6" x14ac:dyDescent="0.2">
      <c r="A861" s="33"/>
      <c r="B861" s="34"/>
      <c r="C861" s="35"/>
      <c r="D861" s="36"/>
      <c r="E861" s="37"/>
      <c r="F861" s="38"/>
    </row>
    <row r="862" spans="1:6" x14ac:dyDescent="0.2">
      <c r="A862" s="33"/>
      <c r="B862" s="34"/>
      <c r="C862" s="35"/>
      <c r="D862" s="36"/>
      <c r="E862" s="37"/>
      <c r="F862" s="38"/>
    </row>
    <row r="863" spans="1:6" x14ac:dyDescent="0.2">
      <c r="A863" s="33"/>
      <c r="B863" s="34"/>
      <c r="C863" s="35"/>
      <c r="D863" s="36"/>
      <c r="E863" s="37"/>
      <c r="F863" s="38"/>
    </row>
    <row r="864" spans="1:6" x14ac:dyDescent="0.2">
      <c r="A864" s="33"/>
      <c r="B864" s="34"/>
      <c r="C864" s="35"/>
      <c r="D864" s="36"/>
      <c r="E864" s="37"/>
      <c r="F864" s="38"/>
    </row>
    <row r="865" spans="1:6" x14ac:dyDescent="0.2">
      <c r="A865" s="33"/>
      <c r="B865" s="34"/>
      <c r="C865" s="35"/>
      <c r="D865" s="36"/>
      <c r="E865" s="37"/>
      <c r="F865" s="38"/>
    </row>
    <row r="866" spans="1:6" x14ac:dyDescent="0.2">
      <c r="A866" s="33"/>
      <c r="B866" s="34"/>
      <c r="C866" s="35"/>
      <c r="D866" s="36"/>
      <c r="E866" s="37"/>
      <c r="F866" s="38"/>
    </row>
    <row r="867" spans="1:6" x14ac:dyDescent="0.2">
      <c r="A867" s="33"/>
      <c r="B867" s="34"/>
      <c r="C867" s="35"/>
      <c r="D867" s="36"/>
      <c r="E867" s="37"/>
      <c r="F867" s="38"/>
    </row>
    <row r="868" spans="1:6" x14ac:dyDescent="0.2">
      <c r="A868" s="33"/>
      <c r="B868" s="34"/>
      <c r="C868" s="35"/>
      <c r="D868" s="36"/>
      <c r="E868" s="37"/>
      <c r="F868" s="38"/>
    </row>
    <row r="869" spans="1:6" x14ac:dyDescent="0.2">
      <c r="A869" s="33"/>
      <c r="B869" s="34"/>
      <c r="C869" s="35"/>
      <c r="D869" s="36"/>
      <c r="E869" s="37"/>
      <c r="F869" s="38"/>
    </row>
    <row r="870" spans="1:6" x14ac:dyDescent="0.2">
      <c r="A870" s="33"/>
      <c r="B870" s="34"/>
      <c r="C870" s="35"/>
      <c r="D870" s="36"/>
      <c r="E870" s="37"/>
      <c r="F870" s="38"/>
    </row>
    <row r="871" spans="1:6" x14ac:dyDescent="0.2">
      <c r="A871" s="33"/>
      <c r="B871" s="34"/>
      <c r="C871" s="35"/>
      <c r="D871" s="36"/>
      <c r="E871" s="37"/>
      <c r="F871" s="38"/>
    </row>
    <row r="872" spans="1:6" x14ac:dyDescent="0.2">
      <c r="A872" s="33"/>
      <c r="B872" s="34"/>
      <c r="C872" s="35"/>
      <c r="D872" s="36"/>
      <c r="E872" s="37"/>
      <c r="F872" s="38"/>
    </row>
    <row r="873" spans="1:6" x14ac:dyDescent="0.2">
      <c r="A873" s="33"/>
      <c r="B873" s="34"/>
      <c r="C873" s="35"/>
      <c r="D873" s="36"/>
      <c r="E873" s="37"/>
      <c r="F873" s="38"/>
    </row>
    <row r="874" spans="1:6" x14ac:dyDescent="0.2">
      <c r="A874" s="33"/>
      <c r="B874" s="34"/>
      <c r="C874" s="35"/>
      <c r="D874" s="36"/>
      <c r="E874" s="37"/>
      <c r="F874" s="38"/>
    </row>
    <row r="875" spans="1:6" x14ac:dyDescent="0.2">
      <c r="A875" s="33"/>
      <c r="B875" s="34"/>
      <c r="C875" s="35"/>
      <c r="D875" s="36"/>
      <c r="E875" s="37"/>
      <c r="F875" s="38"/>
    </row>
    <row r="876" spans="1:6" x14ac:dyDescent="0.2">
      <c r="A876" s="33"/>
      <c r="B876" s="34"/>
      <c r="C876" s="35"/>
      <c r="D876" s="36"/>
      <c r="E876" s="37"/>
      <c r="F876" s="38"/>
    </row>
    <row r="877" spans="1:6" x14ac:dyDescent="0.2">
      <c r="A877" s="33"/>
      <c r="B877" s="34"/>
      <c r="C877" s="35"/>
      <c r="D877" s="36"/>
      <c r="E877" s="37"/>
      <c r="F877" s="38"/>
    </row>
    <row r="878" spans="1:6" x14ac:dyDescent="0.2">
      <c r="A878" s="33"/>
      <c r="B878" s="34"/>
      <c r="C878" s="35"/>
      <c r="D878" s="36"/>
      <c r="E878" s="37"/>
      <c r="F878" s="38"/>
    </row>
    <row r="879" spans="1:6" x14ac:dyDescent="0.2">
      <c r="A879" s="33"/>
      <c r="B879" s="34"/>
      <c r="C879" s="35"/>
      <c r="D879" s="36"/>
      <c r="E879" s="37"/>
      <c r="F879" s="38"/>
    </row>
    <row r="880" spans="1:6" x14ac:dyDescent="0.2">
      <c r="A880" s="33"/>
      <c r="B880" s="34"/>
      <c r="C880" s="35"/>
      <c r="D880" s="36"/>
      <c r="E880" s="37"/>
      <c r="F880" s="38"/>
    </row>
    <row r="881" spans="1:6" x14ac:dyDescent="0.2">
      <c r="A881" s="33"/>
      <c r="B881" s="34"/>
      <c r="C881" s="35"/>
      <c r="D881" s="36"/>
      <c r="E881" s="37"/>
      <c r="F881" s="38"/>
    </row>
    <row r="882" spans="1:6" x14ac:dyDescent="0.2">
      <c r="A882" s="33"/>
      <c r="B882" s="34"/>
      <c r="C882" s="35"/>
      <c r="D882" s="36"/>
      <c r="E882" s="37"/>
      <c r="F882" s="38"/>
    </row>
    <row r="883" spans="1:6" x14ac:dyDescent="0.2">
      <c r="A883" s="33"/>
      <c r="B883" s="34"/>
      <c r="C883" s="35"/>
      <c r="D883" s="36"/>
      <c r="E883" s="37"/>
      <c r="F883" s="38"/>
    </row>
    <row r="884" spans="1:6" x14ac:dyDescent="0.2">
      <c r="A884" s="33"/>
      <c r="B884" s="34"/>
      <c r="C884" s="35"/>
      <c r="D884" s="36"/>
      <c r="E884" s="37"/>
      <c r="F884" s="38"/>
    </row>
    <row r="885" spans="1:6" x14ac:dyDescent="0.2">
      <c r="A885" s="33"/>
      <c r="B885" s="34"/>
      <c r="C885" s="35"/>
      <c r="D885" s="36"/>
      <c r="E885" s="37"/>
      <c r="F885" s="38"/>
    </row>
    <row r="886" spans="1:6" x14ac:dyDescent="0.2">
      <c r="A886" s="33"/>
      <c r="B886" s="34"/>
      <c r="C886" s="35"/>
      <c r="D886" s="36"/>
      <c r="E886" s="37"/>
      <c r="F886" s="38"/>
    </row>
    <row r="887" spans="1:6" x14ac:dyDescent="0.2">
      <c r="A887" s="33"/>
      <c r="B887" s="34"/>
      <c r="C887" s="35"/>
      <c r="D887" s="36"/>
      <c r="E887" s="37"/>
      <c r="F887" s="38"/>
    </row>
    <row r="888" spans="1:6" x14ac:dyDescent="0.2">
      <c r="A888" s="33"/>
      <c r="B888" s="34"/>
      <c r="C888" s="35"/>
      <c r="D888" s="36"/>
      <c r="E888" s="37"/>
      <c r="F888" s="38"/>
    </row>
    <row r="889" spans="1:6" x14ac:dyDescent="0.2">
      <c r="A889" s="33"/>
      <c r="B889" s="34"/>
      <c r="C889" s="35"/>
      <c r="D889" s="36"/>
      <c r="E889" s="37"/>
      <c r="F889" s="38"/>
    </row>
    <row r="890" spans="1:6" x14ac:dyDescent="0.2">
      <c r="A890" s="33"/>
      <c r="B890" s="34"/>
      <c r="C890" s="35"/>
      <c r="D890" s="36"/>
      <c r="E890" s="37"/>
      <c r="F890" s="38"/>
    </row>
    <row r="891" spans="1:6" x14ac:dyDescent="0.2">
      <c r="A891" s="33"/>
      <c r="B891" s="34"/>
      <c r="C891" s="35"/>
      <c r="D891" s="36"/>
      <c r="E891" s="37"/>
      <c r="F891" s="38"/>
    </row>
    <row r="892" spans="1:6" x14ac:dyDescent="0.2">
      <c r="A892" s="33"/>
      <c r="B892" s="34"/>
      <c r="C892" s="35"/>
      <c r="D892" s="36"/>
      <c r="E892" s="37"/>
      <c r="F892" s="38"/>
    </row>
    <row r="893" spans="1:6" x14ac:dyDescent="0.2">
      <c r="A893" s="33"/>
      <c r="B893" s="34"/>
      <c r="C893" s="35"/>
      <c r="D893" s="36"/>
      <c r="E893" s="37"/>
      <c r="F893" s="38"/>
    </row>
    <row r="894" spans="1:6" x14ac:dyDescent="0.2">
      <c r="A894" s="33"/>
      <c r="B894" s="34"/>
      <c r="C894" s="35"/>
      <c r="D894" s="36"/>
      <c r="E894" s="37"/>
      <c r="F894" s="38"/>
    </row>
    <row r="895" spans="1:6" x14ac:dyDescent="0.2">
      <c r="A895" s="33"/>
      <c r="B895" s="34"/>
      <c r="C895" s="35"/>
      <c r="D895" s="36"/>
      <c r="E895" s="37"/>
      <c r="F895" s="38"/>
    </row>
    <row r="896" spans="1:6" x14ac:dyDescent="0.2">
      <c r="A896" s="33"/>
      <c r="B896" s="34"/>
      <c r="C896" s="35"/>
      <c r="D896" s="36"/>
      <c r="E896" s="37"/>
      <c r="F896" s="38"/>
    </row>
    <row r="897" spans="1:6" x14ac:dyDescent="0.2">
      <c r="A897" s="33"/>
      <c r="B897" s="34"/>
      <c r="C897" s="35"/>
      <c r="D897" s="36"/>
      <c r="E897" s="37"/>
      <c r="F897" s="38"/>
    </row>
    <row r="898" spans="1:6" x14ac:dyDescent="0.2">
      <c r="A898" s="33"/>
      <c r="B898" s="34"/>
      <c r="C898" s="35"/>
      <c r="D898" s="36"/>
      <c r="E898" s="37"/>
      <c r="F898" s="38"/>
    </row>
    <row r="899" spans="1:6" x14ac:dyDescent="0.2">
      <c r="A899" s="33"/>
      <c r="B899" s="34"/>
      <c r="C899" s="35"/>
      <c r="D899" s="36"/>
      <c r="E899" s="37"/>
      <c r="F899" s="38"/>
    </row>
    <row r="900" spans="1:6" x14ac:dyDescent="0.2">
      <c r="A900" s="33"/>
      <c r="B900" s="34"/>
      <c r="C900" s="35"/>
      <c r="D900" s="36"/>
      <c r="E900" s="37"/>
      <c r="F900" s="38"/>
    </row>
    <row r="901" spans="1:6" x14ac:dyDescent="0.2">
      <c r="A901" s="33"/>
      <c r="B901" s="34"/>
      <c r="C901" s="35"/>
      <c r="D901" s="36"/>
      <c r="E901" s="37"/>
      <c r="F901" s="38"/>
    </row>
    <row r="902" spans="1:6" x14ac:dyDescent="0.2">
      <c r="A902" s="33"/>
      <c r="B902" s="34"/>
      <c r="C902" s="35"/>
      <c r="D902" s="36"/>
      <c r="E902" s="37"/>
      <c r="F902" s="38"/>
    </row>
    <row r="903" spans="1:6" x14ac:dyDescent="0.2">
      <c r="A903" s="33"/>
      <c r="B903" s="34"/>
      <c r="C903" s="35"/>
      <c r="D903" s="36"/>
      <c r="E903" s="37"/>
      <c r="F903" s="38"/>
    </row>
    <row r="904" spans="1:6" x14ac:dyDescent="0.2">
      <c r="A904" s="33"/>
      <c r="B904" s="34"/>
      <c r="C904" s="35"/>
      <c r="D904" s="36"/>
      <c r="E904" s="37"/>
      <c r="F904" s="38"/>
    </row>
    <row r="905" spans="1:6" x14ac:dyDescent="0.2">
      <c r="A905" s="33"/>
      <c r="B905" s="34"/>
      <c r="C905" s="35"/>
      <c r="D905" s="36"/>
      <c r="E905" s="37"/>
      <c r="F905" s="38"/>
    </row>
    <row r="906" spans="1:6" x14ac:dyDescent="0.2">
      <c r="A906" s="33"/>
      <c r="B906" s="34"/>
      <c r="C906" s="35"/>
      <c r="D906" s="36"/>
      <c r="E906" s="37"/>
      <c r="F906" s="38"/>
    </row>
    <row r="907" spans="1:6" x14ac:dyDescent="0.2">
      <c r="A907" s="33"/>
      <c r="B907" s="34"/>
      <c r="C907" s="35"/>
      <c r="D907" s="36"/>
      <c r="E907" s="37"/>
      <c r="F907" s="38"/>
    </row>
    <row r="908" spans="1:6" x14ac:dyDescent="0.2">
      <c r="A908" s="33"/>
      <c r="B908" s="34"/>
      <c r="C908" s="35"/>
      <c r="D908" s="36"/>
      <c r="E908" s="37"/>
      <c r="F908" s="38"/>
    </row>
    <row r="909" spans="1:6" x14ac:dyDescent="0.2">
      <c r="A909" s="33"/>
      <c r="B909" s="34"/>
      <c r="C909" s="35"/>
      <c r="D909" s="36"/>
      <c r="E909" s="37"/>
      <c r="F909" s="38"/>
    </row>
    <row r="910" spans="1:6" x14ac:dyDescent="0.2">
      <c r="A910" s="33"/>
      <c r="B910" s="34"/>
      <c r="C910" s="35"/>
      <c r="D910" s="36"/>
      <c r="E910" s="37"/>
      <c r="F910" s="38"/>
    </row>
    <row r="911" spans="1:6" x14ac:dyDescent="0.2">
      <c r="A911" s="33"/>
      <c r="B911" s="34"/>
      <c r="C911" s="35"/>
      <c r="D911" s="36"/>
      <c r="E911" s="37"/>
      <c r="F911" s="38"/>
    </row>
    <row r="912" spans="1:6" x14ac:dyDescent="0.2">
      <c r="A912" s="33"/>
      <c r="B912" s="34"/>
      <c r="C912" s="35"/>
      <c r="D912" s="36"/>
      <c r="E912" s="37"/>
      <c r="F912" s="38"/>
    </row>
    <row r="913" spans="1:6" x14ac:dyDescent="0.2">
      <c r="A913" s="33"/>
      <c r="B913" s="34"/>
      <c r="C913" s="35"/>
      <c r="D913" s="36"/>
      <c r="E913" s="37"/>
      <c r="F913" s="38"/>
    </row>
    <row r="914" spans="1:6" x14ac:dyDescent="0.2">
      <c r="A914" s="33"/>
      <c r="B914" s="34"/>
      <c r="C914" s="35"/>
      <c r="D914" s="36"/>
      <c r="E914" s="37"/>
      <c r="F914" s="38"/>
    </row>
    <row r="915" spans="1:6" x14ac:dyDescent="0.2">
      <c r="A915" s="33"/>
      <c r="B915" s="34"/>
      <c r="C915" s="35"/>
      <c r="D915" s="36"/>
      <c r="E915" s="37"/>
      <c r="F915" s="38"/>
    </row>
    <row r="916" spans="1:6" x14ac:dyDescent="0.2">
      <c r="A916" s="33"/>
      <c r="B916" s="34"/>
      <c r="C916" s="35"/>
      <c r="D916" s="36"/>
      <c r="E916" s="37"/>
      <c r="F916" s="38"/>
    </row>
    <row r="917" spans="1:6" x14ac:dyDescent="0.2">
      <c r="A917" s="33"/>
      <c r="B917" s="34"/>
      <c r="C917" s="35"/>
      <c r="D917" s="36"/>
      <c r="E917" s="37"/>
      <c r="F917" s="38"/>
    </row>
    <row r="918" spans="1:6" x14ac:dyDescent="0.2">
      <c r="A918" s="33"/>
      <c r="B918" s="34"/>
      <c r="C918" s="35"/>
      <c r="D918" s="36"/>
      <c r="E918" s="37"/>
      <c r="F918" s="38"/>
    </row>
    <row r="919" spans="1:6" x14ac:dyDescent="0.2">
      <c r="A919" s="33"/>
      <c r="B919" s="34"/>
      <c r="C919" s="35"/>
      <c r="D919" s="36"/>
      <c r="E919" s="37"/>
      <c r="F919" s="38"/>
    </row>
    <row r="920" spans="1:6" x14ac:dyDescent="0.2">
      <c r="A920" s="33"/>
      <c r="B920" s="34"/>
      <c r="C920" s="35"/>
      <c r="D920" s="36"/>
      <c r="E920" s="37"/>
      <c r="F920" s="38"/>
    </row>
    <row r="921" spans="1:6" x14ac:dyDescent="0.2">
      <c r="A921" s="33"/>
      <c r="B921" s="34"/>
      <c r="C921" s="35"/>
      <c r="D921" s="36"/>
      <c r="E921" s="37"/>
      <c r="F921" s="38"/>
    </row>
    <row r="922" spans="1:6" x14ac:dyDescent="0.2">
      <c r="A922" s="33"/>
      <c r="B922" s="34"/>
      <c r="C922" s="35"/>
      <c r="D922" s="36"/>
      <c r="E922" s="37"/>
      <c r="F922" s="38"/>
    </row>
    <row r="923" spans="1:6" x14ac:dyDescent="0.2">
      <c r="A923" s="33"/>
      <c r="B923" s="34"/>
      <c r="C923" s="35"/>
      <c r="D923" s="36"/>
      <c r="E923" s="37"/>
      <c r="F923" s="38"/>
    </row>
    <row r="924" spans="1:6" x14ac:dyDescent="0.2">
      <c r="A924" s="33"/>
      <c r="B924" s="34"/>
      <c r="C924" s="35"/>
      <c r="D924" s="36"/>
      <c r="E924" s="37"/>
      <c r="F924" s="38"/>
    </row>
    <row r="925" spans="1:6" x14ac:dyDescent="0.2">
      <c r="A925" s="33"/>
      <c r="B925" s="34"/>
      <c r="C925" s="35"/>
      <c r="D925" s="36"/>
      <c r="E925" s="37"/>
      <c r="F925" s="38"/>
    </row>
    <row r="926" spans="1:6" x14ac:dyDescent="0.2">
      <c r="A926" s="33"/>
      <c r="B926" s="34"/>
      <c r="C926" s="35"/>
      <c r="D926" s="36"/>
      <c r="E926" s="37"/>
      <c r="F926" s="38"/>
    </row>
    <row r="927" spans="1:6" x14ac:dyDescent="0.2">
      <c r="A927" s="33"/>
      <c r="B927" s="34"/>
      <c r="C927" s="35"/>
      <c r="D927" s="36"/>
      <c r="E927" s="37"/>
      <c r="F927" s="38"/>
    </row>
    <row r="928" spans="1:6" x14ac:dyDescent="0.2">
      <c r="A928" s="33"/>
      <c r="B928" s="34"/>
      <c r="C928" s="35"/>
      <c r="D928" s="36"/>
      <c r="E928" s="37"/>
      <c r="F928" s="38"/>
    </row>
    <row r="929" spans="1:6" x14ac:dyDescent="0.2">
      <c r="A929" s="33"/>
      <c r="B929" s="34"/>
      <c r="C929" s="35"/>
      <c r="D929" s="36"/>
      <c r="E929" s="37"/>
      <c r="F929" s="38"/>
    </row>
    <row r="930" spans="1:6" x14ac:dyDescent="0.2">
      <c r="A930" s="33"/>
      <c r="B930" s="34"/>
      <c r="C930" s="35"/>
      <c r="D930" s="36"/>
      <c r="E930" s="37"/>
      <c r="F930" s="38"/>
    </row>
    <row r="931" spans="1:6" x14ac:dyDescent="0.2">
      <c r="A931" s="33"/>
      <c r="B931" s="34"/>
      <c r="C931" s="35"/>
      <c r="D931" s="36"/>
      <c r="E931" s="37"/>
      <c r="F931" s="38"/>
    </row>
    <row r="932" spans="1:6" x14ac:dyDescent="0.2">
      <c r="A932" s="33"/>
      <c r="B932" s="34"/>
      <c r="C932" s="35"/>
      <c r="D932" s="36"/>
      <c r="E932" s="37"/>
      <c r="F932" s="38"/>
    </row>
    <row r="933" spans="1:6" x14ac:dyDescent="0.2">
      <c r="A933" s="33"/>
      <c r="B933" s="34"/>
      <c r="C933" s="35"/>
      <c r="D933" s="36"/>
      <c r="E933" s="37"/>
      <c r="F933" s="38"/>
    </row>
    <row r="934" spans="1:6" x14ac:dyDescent="0.2">
      <c r="A934" s="33"/>
      <c r="B934" s="34"/>
      <c r="C934" s="35"/>
      <c r="D934" s="36"/>
      <c r="E934" s="37"/>
      <c r="F934" s="38"/>
    </row>
    <row r="935" spans="1:6" x14ac:dyDescent="0.2">
      <c r="A935" s="33"/>
      <c r="B935" s="34"/>
      <c r="C935" s="35"/>
      <c r="D935" s="36"/>
      <c r="E935" s="37"/>
      <c r="F935" s="38"/>
    </row>
    <row r="936" spans="1:6" x14ac:dyDescent="0.2">
      <c r="A936" s="33"/>
      <c r="B936" s="34"/>
      <c r="C936" s="35"/>
      <c r="D936" s="36"/>
      <c r="E936" s="37"/>
      <c r="F936" s="38"/>
    </row>
    <row r="937" spans="1:6" x14ac:dyDescent="0.2">
      <c r="A937" s="33"/>
      <c r="B937" s="34"/>
      <c r="C937" s="35"/>
      <c r="D937" s="36"/>
      <c r="E937" s="37"/>
      <c r="F937" s="38"/>
    </row>
    <row r="938" spans="1:6" x14ac:dyDescent="0.2">
      <c r="A938" s="33"/>
      <c r="B938" s="34"/>
      <c r="C938" s="35"/>
      <c r="D938" s="36"/>
      <c r="E938" s="37"/>
      <c r="F938" s="38"/>
    </row>
    <row r="939" spans="1:6" x14ac:dyDescent="0.2">
      <c r="A939" s="33"/>
      <c r="B939" s="34"/>
      <c r="C939" s="35"/>
      <c r="D939" s="36"/>
      <c r="E939" s="37"/>
      <c r="F939" s="38"/>
    </row>
    <row r="940" spans="1:6" x14ac:dyDescent="0.2">
      <c r="A940" s="33"/>
      <c r="B940" s="34"/>
      <c r="C940" s="35"/>
      <c r="D940" s="36"/>
      <c r="E940" s="37"/>
      <c r="F940" s="38"/>
    </row>
    <row r="941" spans="1:6" x14ac:dyDescent="0.2">
      <c r="A941" s="33"/>
      <c r="B941" s="34"/>
      <c r="C941" s="35"/>
      <c r="D941" s="36"/>
      <c r="E941" s="37"/>
      <c r="F941" s="38"/>
    </row>
    <row r="942" spans="1:6" x14ac:dyDescent="0.2">
      <c r="A942" s="33"/>
      <c r="B942" s="34"/>
      <c r="C942" s="35"/>
      <c r="D942" s="36"/>
      <c r="E942" s="37"/>
      <c r="F942" s="38"/>
    </row>
    <row r="943" spans="1:6" x14ac:dyDescent="0.2">
      <c r="A943" s="33"/>
      <c r="B943" s="34"/>
      <c r="C943" s="35"/>
      <c r="D943" s="36"/>
      <c r="E943" s="37"/>
      <c r="F943" s="38"/>
    </row>
    <row r="944" spans="1:6" x14ac:dyDescent="0.2">
      <c r="A944" s="33"/>
      <c r="B944" s="34"/>
      <c r="C944" s="35"/>
      <c r="D944" s="36"/>
      <c r="E944" s="37"/>
      <c r="F944" s="38"/>
    </row>
    <row r="945" spans="1:6" x14ac:dyDescent="0.2">
      <c r="A945" s="33"/>
      <c r="B945" s="34"/>
      <c r="C945" s="35"/>
      <c r="D945" s="36"/>
      <c r="E945" s="37"/>
      <c r="F945" s="38"/>
    </row>
    <row r="946" spans="1:6" x14ac:dyDescent="0.2">
      <c r="A946" s="33"/>
      <c r="B946" s="34"/>
      <c r="C946" s="35"/>
      <c r="D946" s="36"/>
      <c r="E946" s="37"/>
      <c r="F946" s="38"/>
    </row>
    <row r="947" spans="1:6" x14ac:dyDescent="0.2">
      <c r="A947" s="33"/>
      <c r="B947" s="34"/>
      <c r="C947" s="35"/>
      <c r="D947" s="36"/>
      <c r="E947" s="37"/>
      <c r="F947" s="38"/>
    </row>
    <row r="948" spans="1:6" x14ac:dyDescent="0.2">
      <c r="A948" s="33"/>
      <c r="B948" s="34"/>
      <c r="C948" s="35"/>
      <c r="D948" s="36"/>
      <c r="E948" s="37"/>
      <c r="F948" s="38"/>
    </row>
    <row r="949" spans="1:6" x14ac:dyDescent="0.2">
      <c r="A949" s="33"/>
      <c r="B949" s="34"/>
      <c r="C949" s="35"/>
      <c r="D949" s="36"/>
      <c r="E949" s="37"/>
      <c r="F949" s="38"/>
    </row>
    <row r="950" spans="1:6" x14ac:dyDescent="0.2">
      <c r="A950" s="33"/>
      <c r="B950" s="34"/>
      <c r="C950" s="35"/>
      <c r="D950" s="36"/>
      <c r="E950" s="37"/>
      <c r="F950" s="38"/>
    </row>
    <row r="951" spans="1:6" x14ac:dyDescent="0.2">
      <c r="A951" s="33"/>
      <c r="B951" s="34"/>
      <c r="C951" s="35"/>
      <c r="D951" s="36"/>
      <c r="E951" s="37"/>
      <c r="F951" s="38"/>
    </row>
    <row r="952" spans="1:6" x14ac:dyDescent="0.2">
      <c r="A952" s="33"/>
      <c r="B952" s="34"/>
      <c r="C952" s="35"/>
      <c r="D952" s="36"/>
      <c r="E952" s="37"/>
      <c r="F952" s="38"/>
    </row>
    <row r="953" spans="1:6" x14ac:dyDescent="0.2">
      <c r="A953" s="33"/>
      <c r="B953" s="34"/>
      <c r="C953" s="35"/>
      <c r="D953" s="36"/>
      <c r="E953" s="37"/>
      <c r="F953" s="38"/>
    </row>
    <row r="954" spans="1:6" x14ac:dyDescent="0.2">
      <c r="A954" s="33"/>
      <c r="B954" s="34"/>
      <c r="C954" s="35"/>
      <c r="D954" s="36"/>
      <c r="E954" s="37"/>
      <c r="F954" s="38"/>
    </row>
    <row r="955" spans="1:6" x14ac:dyDescent="0.2">
      <c r="A955" s="33"/>
      <c r="B955" s="34"/>
      <c r="C955" s="35"/>
      <c r="D955" s="36"/>
      <c r="E955" s="37"/>
      <c r="F955" s="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"/>
  <sheetViews>
    <sheetView zoomScaleNormal="100" workbookViewId="0">
      <pane ySplit="3" topLeftCell="A88" activePane="bottomLeft" state="frozen"/>
      <selection pane="bottomLeft" activeCell="I93" sqref="I93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10" customWidth="1"/>
    <col min="4" max="4" width="32" customWidth="1"/>
    <col min="5" max="5" width="52" customWidth="1"/>
    <col min="6" max="6" width="12" customWidth="1"/>
    <col min="7" max="7" width="11" customWidth="1"/>
    <col min="8" max="8" width="12" customWidth="1"/>
    <col min="9" max="10" width="12" style="120" customWidth="1"/>
    <col min="11" max="11" width="11" customWidth="1"/>
    <col min="12" max="12" width="28" customWidth="1"/>
  </cols>
  <sheetData>
    <row r="1" spans="1:12" ht="39.75" customHeight="1" x14ac:dyDescent="0.2">
      <c r="A1" s="126" t="s">
        <v>542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ht="21.75" customHeight="1" x14ac:dyDescent="0.2">
      <c r="A2" s="127" t="s">
        <v>543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ht="37.5" customHeight="1" x14ac:dyDescent="0.2">
      <c r="A3" s="40" t="s">
        <v>0</v>
      </c>
      <c r="B3" s="40" t="s">
        <v>1</v>
      </c>
      <c r="C3" s="40" t="s">
        <v>544</v>
      </c>
      <c r="D3" s="40" t="s">
        <v>545</v>
      </c>
      <c r="E3" s="40" t="s">
        <v>546</v>
      </c>
      <c r="F3" s="40" t="s">
        <v>547</v>
      </c>
      <c r="G3" s="40" t="s">
        <v>548</v>
      </c>
      <c r="H3" s="40" t="s">
        <v>549</v>
      </c>
      <c r="I3" s="40" t="s">
        <v>550</v>
      </c>
      <c r="J3" s="40" t="s">
        <v>551</v>
      </c>
      <c r="K3" s="40" t="s">
        <v>552</v>
      </c>
      <c r="L3" s="40" t="s">
        <v>553</v>
      </c>
    </row>
    <row r="4" spans="1:12" ht="25.5" customHeight="1" x14ac:dyDescent="0.2">
      <c r="A4" s="125" t="s">
        <v>554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</row>
    <row r="5" spans="1:12" ht="42" customHeight="1" x14ac:dyDescent="0.2">
      <c r="A5" s="41">
        <v>1</v>
      </c>
      <c r="B5" s="42" t="s">
        <v>555</v>
      </c>
      <c r="C5" s="41" t="s">
        <v>556</v>
      </c>
      <c r="D5" s="43" t="s">
        <v>557</v>
      </c>
      <c r="E5" s="44" t="s">
        <v>558</v>
      </c>
      <c r="F5" s="45" t="s">
        <v>559</v>
      </c>
      <c r="G5" s="41" t="s">
        <v>560</v>
      </c>
      <c r="H5" s="41">
        <v>45</v>
      </c>
      <c r="I5" s="104">
        <v>5.4</v>
      </c>
      <c r="J5" s="105">
        <v>0.81</v>
      </c>
      <c r="K5" s="41">
        <v>4</v>
      </c>
      <c r="L5" s="42" t="s">
        <v>561</v>
      </c>
    </row>
    <row r="6" spans="1:12" ht="42" customHeight="1" x14ac:dyDescent="0.2">
      <c r="A6" s="41">
        <v>2</v>
      </c>
      <c r="B6" s="42" t="s">
        <v>555</v>
      </c>
      <c r="C6" s="41" t="s">
        <v>562</v>
      </c>
      <c r="D6" s="43" t="s">
        <v>563</v>
      </c>
      <c r="E6" s="44" t="s">
        <v>564</v>
      </c>
      <c r="F6" s="45" t="s">
        <v>559</v>
      </c>
      <c r="G6" s="41" t="s">
        <v>560</v>
      </c>
      <c r="H6" s="41">
        <v>55</v>
      </c>
      <c r="I6" s="104">
        <v>6.6</v>
      </c>
      <c r="J6" s="105">
        <v>0.99</v>
      </c>
      <c r="K6" s="41">
        <v>5</v>
      </c>
      <c r="L6" s="42" t="s">
        <v>565</v>
      </c>
    </row>
    <row r="7" spans="1:12" ht="42" customHeight="1" x14ac:dyDescent="0.2">
      <c r="A7" s="41">
        <v>3</v>
      </c>
      <c r="B7" s="42" t="s">
        <v>555</v>
      </c>
      <c r="C7" s="41" t="s">
        <v>566</v>
      </c>
      <c r="D7" s="43" t="s">
        <v>567</v>
      </c>
      <c r="E7" s="44" t="s">
        <v>568</v>
      </c>
      <c r="F7" s="45" t="s">
        <v>559</v>
      </c>
      <c r="G7" s="41" t="s">
        <v>560</v>
      </c>
      <c r="H7" s="41">
        <v>50</v>
      </c>
      <c r="I7" s="104">
        <v>6</v>
      </c>
      <c r="J7" s="105">
        <v>0.9</v>
      </c>
      <c r="K7" s="41">
        <v>4</v>
      </c>
      <c r="L7" s="42" t="s">
        <v>569</v>
      </c>
    </row>
    <row r="8" spans="1:12" ht="42" customHeight="1" x14ac:dyDescent="0.2">
      <c r="A8" s="41">
        <v>4</v>
      </c>
      <c r="B8" s="42" t="s">
        <v>555</v>
      </c>
      <c r="C8" s="41" t="s">
        <v>570</v>
      </c>
      <c r="D8" s="43" t="s">
        <v>571</v>
      </c>
      <c r="E8" s="44" t="s">
        <v>572</v>
      </c>
      <c r="F8" s="45" t="s">
        <v>559</v>
      </c>
      <c r="G8" s="41" t="s">
        <v>560</v>
      </c>
      <c r="H8" s="41">
        <v>55</v>
      </c>
      <c r="I8" s="104">
        <v>6.6</v>
      </c>
      <c r="J8" s="105">
        <v>0.99</v>
      </c>
      <c r="K8" s="41">
        <v>5</v>
      </c>
      <c r="L8" s="42" t="s">
        <v>573</v>
      </c>
    </row>
    <row r="9" spans="1:12" ht="42" customHeight="1" x14ac:dyDescent="0.2">
      <c r="A9" s="41">
        <v>5</v>
      </c>
      <c r="B9" s="42" t="s">
        <v>555</v>
      </c>
      <c r="C9" s="41" t="s">
        <v>574</v>
      </c>
      <c r="D9" s="43" t="s">
        <v>575</v>
      </c>
      <c r="E9" s="44" t="s">
        <v>576</v>
      </c>
      <c r="F9" s="45" t="s">
        <v>559</v>
      </c>
      <c r="G9" s="41" t="s">
        <v>560</v>
      </c>
      <c r="H9" s="41">
        <v>40</v>
      </c>
      <c r="I9" s="104">
        <v>4.8</v>
      </c>
      <c r="J9" s="105">
        <v>0.72</v>
      </c>
      <c r="K9" s="41">
        <v>4</v>
      </c>
      <c r="L9" s="42" t="s">
        <v>577</v>
      </c>
    </row>
    <row r="10" spans="1:12" ht="42" customHeight="1" x14ac:dyDescent="0.2">
      <c r="A10" s="41">
        <v>6</v>
      </c>
      <c r="B10" s="42" t="s">
        <v>555</v>
      </c>
      <c r="C10" s="41" t="s">
        <v>578</v>
      </c>
      <c r="D10" s="43" t="s">
        <v>579</v>
      </c>
      <c r="E10" s="44" t="s">
        <v>580</v>
      </c>
      <c r="F10" s="45" t="s">
        <v>559</v>
      </c>
      <c r="G10" s="41" t="s">
        <v>581</v>
      </c>
      <c r="H10" s="41">
        <v>60</v>
      </c>
      <c r="I10" s="104">
        <v>7.8</v>
      </c>
      <c r="J10" s="105">
        <v>1.17</v>
      </c>
      <c r="K10" s="41">
        <v>5</v>
      </c>
      <c r="L10" s="42" t="s">
        <v>582</v>
      </c>
    </row>
    <row r="11" spans="1:12" ht="42" customHeight="1" x14ac:dyDescent="0.2">
      <c r="A11" s="41">
        <v>7</v>
      </c>
      <c r="B11" s="42" t="s">
        <v>555</v>
      </c>
      <c r="C11" s="41" t="s">
        <v>583</v>
      </c>
      <c r="D11" s="43" t="s">
        <v>584</v>
      </c>
      <c r="E11" s="44" t="s">
        <v>585</v>
      </c>
      <c r="F11" s="45" t="s">
        <v>559</v>
      </c>
      <c r="G11" s="41" t="s">
        <v>586</v>
      </c>
      <c r="H11" s="41">
        <v>20</v>
      </c>
      <c r="I11" s="104">
        <v>2.4</v>
      </c>
      <c r="J11" s="105">
        <v>0.36</v>
      </c>
      <c r="K11" s="41">
        <v>2</v>
      </c>
      <c r="L11" s="42" t="s">
        <v>587</v>
      </c>
    </row>
    <row r="12" spans="1:12" ht="42" customHeight="1" x14ac:dyDescent="0.2">
      <c r="A12" s="41">
        <v>8</v>
      </c>
      <c r="B12" s="42" t="s">
        <v>555</v>
      </c>
      <c r="C12" s="41" t="s">
        <v>588</v>
      </c>
      <c r="D12" s="43" t="s">
        <v>589</v>
      </c>
      <c r="E12" s="44" t="s">
        <v>590</v>
      </c>
      <c r="F12" s="45" t="s">
        <v>559</v>
      </c>
      <c r="G12" s="41" t="s">
        <v>581</v>
      </c>
      <c r="H12" s="41">
        <v>50</v>
      </c>
      <c r="I12" s="104">
        <v>6.5</v>
      </c>
      <c r="J12" s="105">
        <v>0.98</v>
      </c>
      <c r="K12" s="41">
        <v>5</v>
      </c>
      <c r="L12" s="42" t="s">
        <v>591</v>
      </c>
    </row>
    <row r="13" spans="1:12" ht="42" customHeight="1" x14ac:dyDescent="0.2">
      <c r="A13" s="41">
        <v>9</v>
      </c>
      <c r="B13" s="42" t="s">
        <v>555</v>
      </c>
      <c r="C13" s="41" t="s">
        <v>592</v>
      </c>
      <c r="D13" s="43" t="s">
        <v>593</v>
      </c>
      <c r="E13" s="44" t="s">
        <v>594</v>
      </c>
      <c r="F13" s="45" t="s">
        <v>559</v>
      </c>
      <c r="G13" s="41" t="s">
        <v>560</v>
      </c>
      <c r="H13" s="41">
        <v>45</v>
      </c>
      <c r="I13" s="104">
        <v>5.85</v>
      </c>
      <c r="J13" s="105">
        <v>0.88</v>
      </c>
      <c r="K13" s="41">
        <v>4</v>
      </c>
      <c r="L13" s="42" t="s">
        <v>595</v>
      </c>
    </row>
    <row r="14" spans="1:12" ht="42" customHeight="1" x14ac:dyDescent="0.2">
      <c r="A14" s="41">
        <v>10</v>
      </c>
      <c r="B14" s="42" t="s">
        <v>555</v>
      </c>
      <c r="C14" s="41" t="s">
        <v>596</v>
      </c>
      <c r="D14" s="43" t="s">
        <v>70</v>
      </c>
      <c r="E14" s="44" t="s">
        <v>597</v>
      </c>
      <c r="F14" s="45" t="s">
        <v>559</v>
      </c>
      <c r="G14" s="41" t="s">
        <v>586</v>
      </c>
      <c r="H14" s="41">
        <v>30</v>
      </c>
      <c r="I14" s="104">
        <v>3.6</v>
      </c>
      <c r="J14" s="105">
        <v>0.54</v>
      </c>
      <c r="K14" s="41">
        <v>3</v>
      </c>
      <c r="L14" s="42" t="s">
        <v>598</v>
      </c>
    </row>
    <row r="15" spans="1:12" ht="42" customHeight="1" x14ac:dyDescent="0.2">
      <c r="A15" s="41">
        <v>11</v>
      </c>
      <c r="B15" s="42" t="s">
        <v>555</v>
      </c>
      <c r="C15" s="41" t="s">
        <v>599</v>
      </c>
      <c r="D15" s="43" t="s">
        <v>600</v>
      </c>
      <c r="E15" s="44" t="s">
        <v>601</v>
      </c>
      <c r="F15" s="47" t="s">
        <v>602</v>
      </c>
      <c r="G15" s="41" t="s">
        <v>603</v>
      </c>
      <c r="H15" s="41">
        <v>18</v>
      </c>
      <c r="I15" s="104">
        <v>2.16</v>
      </c>
      <c r="J15" s="105">
        <v>0.32</v>
      </c>
      <c r="K15" s="41">
        <v>2</v>
      </c>
      <c r="L15" s="42" t="s">
        <v>604</v>
      </c>
    </row>
    <row r="16" spans="1:12" ht="42" customHeight="1" x14ac:dyDescent="0.2">
      <c r="A16" s="41">
        <v>12</v>
      </c>
      <c r="B16" s="42" t="s">
        <v>555</v>
      </c>
      <c r="C16" s="41" t="s">
        <v>605</v>
      </c>
      <c r="D16" s="43" t="s">
        <v>606</v>
      </c>
      <c r="E16" s="44" t="s">
        <v>607</v>
      </c>
      <c r="F16" s="47" t="s">
        <v>602</v>
      </c>
      <c r="G16" s="41" t="s">
        <v>586</v>
      </c>
      <c r="H16" s="41">
        <v>30</v>
      </c>
      <c r="I16" s="104">
        <v>3.6</v>
      </c>
      <c r="J16" s="105">
        <v>0.54</v>
      </c>
      <c r="K16" s="41">
        <v>3</v>
      </c>
      <c r="L16" s="42" t="s">
        <v>608</v>
      </c>
    </row>
    <row r="17" spans="1:12" ht="42" customHeight="1" x14ac:dyDescent="0.2">
      <c r="A17" s="41">
        <v>13</v>
      </c>
      <c r="B17" s="42" t="s">
        <v>555</v>
      </c>
      <c r="C17" s="41" t="s">
        <v>609</v>
      </c>
      <c r="D17" s="43" t="s">
        <v>610</v>
      </c>
      <c r="E17" s="44" t="s">
        <v>611</v>
      </c>
      <c r="F17" s="47" t="s">
        <v>602</v>
      </c>
      <c r="G17" s="41" t="s">
        <v>603</v>
      </c>
      <c r="H17" s="41">
        <v>18</v>
      </c>
      <c r="I17" s="104">
        <v>2.16</v>
      </c>
      <c r="J17" s="105">
        <v>0.32</v>
      </c>
      <c r="K17" s="41">
        <v>2</v>
      </c>
      <c r="L17" s="42" t="s">
        <v>604</v>
      </c>
    </row>
    <row r="18" spans="1:12" ht="42" customHeight="1" x14ac:dyDescent="0.2">
      <c r="A18" s="41">
        <v>14</v>
      </c>
      <c r="B18" s="42" t="s">
        <v>555</v>
      </c>
      <c r="C18" s="41" t="s">
        <v>612</v>
      </c>
      <c r="D18" s="43" t="s">
        <v>613</v>
      </c>
      <c r="E18" s="44" t="s">
        <v>614</v>
      </c>
      <c r="F18" s="47" t="s">
        <v>602</v>
      </c>
      <c r="G18" s="41" t="s">
        <v>586</v>
      </c>
      <c r="H18" s="41">
        <v>25</v>
      </c>
      <c r="I18" s="104">
        <v>3</v>
      </c>
      <c r="J18" s="105">
        <v>0.45</v>
      </c>
      <c r="K18" s="41">
        <v>3</v>
      </c>
      <c r="L18" s="42" t="s">
        <v>615</v>
      </c>
    </row>
    <row r="19" spans="1:12" ht="42" customHeight="1" x14ac:dyDescent="0.2">
      <c r="A19" s="41">
        <v>15</v>
      </c>
      <c r="B19" s="42" t="s">
        <v>555</v>
      </c>
      <c r="C19" s="41" t="s">
        <v>616</v>
      </c>
      <c r="D19" s="43" t="s">
        <v>255</v>
      </c>
      <c r="E19" s="44" t="s">
        <v>617</v>
      </c>
      <c r="F19" s="45" t="s">
        <v>559</v>
      </c>
      <c r="G19" s="41" t="s">
        <v>586</v>
      </c>
      <c r="H19" s="41">
        <v>28</v>
      </c>
      <c r="I19" s="104">
        <v>3.36</v>
      </c>
      <c r="J19" s="105">
        <v>0.5</v>
      </c>
      <c r="K19" s="41">
        <v>3</v>
      </c>
      <c r="L19" s="42" t="s">
        <v>618</v>
      </c>
    </row>
    <row r="20" spans="1:12" ht="42" customHeight="1" x14ac:dyDescent="0.2">
      <c r="A20" s="41">
        <v>16</v>
      </c>
      <c r="B20" s="42" t="s">
        <v>555</v>
      </c>
      <c r="C20" s="41" t="s">
        <v>619</v>
      </c>
      <c r="D20" s="43" t="s">
        <v>620</v>
      </c>
      <c r="E20" s="44" t="s">
        <v>621</v>
      </c>
      <c r="F20" s="45" t="s">
        <v>559</v>
      </c>
      <c r="G20" s="41" t="s">
        <v>586</v>
      </c>
      <c r="H20" s="41">
        <v>22</v>
      </c>
      <c r="I20" s="104">
        <v>2.86</v>
      </c>
      <c r="J20" s="105">
        <v>0.43</v>
      </c>
      <c r="K20" s="41">
        <v>2</v>
      </c>
      <c r="L20" s="42" t="s">
        <v>622</v>
      </c>
    </row>
    <row r="21" spans="1:12" ht="42" customHeight="1" x14ac:dyDescent="0.2">
      <c r="A21" s="41">
        <v>17</v>
      </c>
      <c r="B21" s="42" t="s">
        <v>555</v>
      </c>
      <c r="C21" s="41" t="s">
        <v>623</v>
      </c>
      <c r="D21" s="43" t="s">
        <v>285</v>
      </c>
      <c r="E21" s="44" t="s">
        <v>624</v>
      </c>
      <c r="F21" s="45" t="s">
        <v>559</v>
      </c>
      <c r="G21" s="41" t="s">
        <v>586</v>
      </c>
      <c r="H21" s="41">
        <v>20</v>
      </c>
      <c r="I21" s="104">
        <v>2.6</v>
      </c>
      <c r="J21" s="105">
        <v>0.39</v>
      </c>
      <c r="K21" s="41">
        <v>2</v>
      </c>
      <c r="L21" s="42" t="s">
        <v>625</v>
      </c>
    </row>
    <row r="22" spans="1:12" ht="42" customHeight="1" x14ac:dyDescent="0.2">
      <c r="A22" s="41">
        <v>18</v>
      </c>
      <c r="B22" s="42" t="s">
        <v>555</v>
      </c>
      <c r="C22" s="41" t="s">
        <v>626</v>
      </c>
      <c r="D22" s="43" t="s">
        <v>62</v>
      </c>
      <c r="E22" s="44" t="s">
        <v>627</v>
      </c>
      <c r="F22" s="47" t="s">
        <v>602</v>
      </c>
      <c r="G22" s="41" t="s">
        <v>560</v>
      </c>
      <c r="H22" s="41">
        <v>40</v>
      </c>
      <c r="I22" s="104">
        <v>4.8</v>
      </c>
      <c r="J22" s="105">
        <v>0.72</v>
      </c>
      <c r="K22" s="41">
        <v>4</v>
      </c>
      <c r="L22" s="42" t="s">
        <v>604</v>
      </c>
    </row>
    <row r="23" spans="1:12" ht="42" customHeight="1" x14ac:dyDescent="0.2">
      <c r="A23" s="41">
        <v>19</v>
      </c>
      <c r="B23" s="42" t="s">
        <v>555</v>
      </c>
      <c r="C23" s="41" t="s">
        <v>628</v>
      </c>
      <c r="D23" s="43" t="s">
        <v>629</v>
      </c>
      <c r="E23" s="44" t="s">
        <v>630</v>
      </c>
      <c r="F23" s="45" t="s">
        <v>559</v>
      </c>
      <c r="G23" s="41" t="s">
        <v>581</v>
      </c>
      <c r="H23" s="41">
        <v>60</v>
      </c>
      <c r="I23" s="104">
        <v>8.4</v>
      </c>
      <c r="J23" s="105">
        <v>1.26</v>
      </c>
      <c r="K23" s="41">
        <v>5</v>
      </c>
      <c r="L23" s="42" t="s">
        <v>631</v>
      </c>
    </row>
    <row r="24" spans="1:12" ht="42" customHeight="1" x14ac:dyDescent="0.2">
      <c r="A24" s="41">
        <v>20</v>
      </c>
      <c r="B24" s="42" t="s">
        <v>555</v>
      </c>
      <c r="C24" s="41" t="s">
        <v>632</v>
      </c>
      <c r="D24" s="43" t="s">
        <v>633</v>
      </c>
      <c r="E24" s="44" t="s">
        <v>634</v>
      </c>
      <c r="F24" s="45" t="s">
        <v>559</v>
      </c>
      <c r="G24" s="41" t="s">
        <v>581</v>
      </c>
      <c r="H24" s="41">
        <v>60</v>
      </c>
      <c r="I24" s="104">
        <v>8.4</v>
      </c>
      <c r="J24" s="105">
        <v>1.26</v>
      </c>
      <c r="K24" s="41">
        <v>5</v>
      </c>
      <c r="L24" s="42" t="s">
        <v>635</v>
      </c>
    </row>
    <row r="25" spans="1:12" ht="42" customHeight="1" x14ac:dyDescent="0.2">
      <c r="A25" s="41">
        <v>21</v>
      </c>
      <c r="B25" s="42" t="s">
        <v>555</v>
      </c>
      <c r="C25" s="41" t="s">
        <v>636</v>
      </c>
      <c r="D25" s="43" t="s">
        <v>294</v>
      </c>
      <c r="E25" s="44" t="s">
        <v>637</v>
      </c>
      <c r="F25" s="47" t="s">
        <v>602</v>
      </c>
      <c r="G25" s="41" t="s">
        <v>603</v>
      </c>
      <c r="H25" s="41">
        <v>15</v>
      </c>
      <c r="I25" s="104">
        <v>1.8</v>
      </c>
      <c r="J25" s="105">
        <v>0.27</v>
      </c>
      <c r="K25" s="41">
        <v>2</v>
      </c>
      <c r="L25" s="42" t="s">
        <v>604</v>
      </c>
    </row>
    <row r="26" spans="1:12" ht="25.5" customHeight="1" x14ac:dyDescent="0.2">
      <c r="A26" s="125" t="s">
        <v>638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</row>
    <row r="27" spans="1:12" ht="42" customHeight="1" x14ac:dyDescent="0.2">
      <c r="A27" s="48">
        <v>22</v>
      </c>
      <c r="B27" s="49" t="s">
        <v>639</v>
      </c>
      <c r="C27" s="48" t="s">
        <v>640</v>
      </c>
      <c r="D27" s="50" t="s">
        <v>641</v>
      </c>
      <c r="E27" s="51" t="s">
        <v>642</v>
      </c>
      <c r="F27" s="52" t="s">
        <v>559</v>
      </c>
      <c r="G27" s="48" t="s">
        <v>581</v>
      </c>
      <c r="H27" s="48">
        <v>45</v>
      </c>
      <c r="I27" s="106">
        <v>5.85</v>
      </c>
      <c r="J27" s="107">
        <v>0.88</v>
      </c>
      <c r="K27" s="48">
        <v>4</v>
      </c>
      <c r="L27" s="49" t="s">
        <v>643</v>
      </c>
    </row>
    <row r="28" spans="1:12" ht="42" customHeight="1" x14ac:dyDescent="0.2">
      <c r="A28" s="48">
        <v>23</v>
      </c>
      <c r="B28" s="49" t="s">
        <v>639</v>
      </c>
      <c r="C28" s="48" t="s">
        <v>644</v>
      </c>
      <c r="D28" s="50" t="s">
        <v>645</v>
      </c>
      <c r="E28" s="51" t="s">
        <v>646</v>
      </c>
      <c r="F28" s="52" t="s">
        <v>559</v>
      </c>
      <c r="G28" s="48" t="s">
        <v>560</v>
      </c>
      <c r="H28" s="48">
        <v>40</v>
      </c>
      <c r="I28" s="106">
        <v>5.2</v>
      </c>
      <c r="J28" s="107">
        <v>0.78</v>
      </c>
      <c r="K28" s="48">
        <v>4</v>
      </c>
      <c r="L28" s="49" t="s">
        <v>647</v>
      </c>
    </row>
    <row r="29" spans="1:12" ht="42" customHeight="1" x14ac:dyDescent="0.2">
      <c r="A29" s="48">
        <v>24</v>
      </c>
      <c r="B29" s="49" t="s">
        <v>639</v>
      </c>
      <c r="C29" s="48" t="s">
        <v>648</v>
      </c>
      <c r="D29" s="50" t="s">
        <v>649</v>
      </c>
      <c r="E29" s="51" t="s">
        <v>650</v>
      </c>
      <c r="F29" s="52" t="s">
        <v>559</v>
      </c>
      <c r="G29" s="48" t="s">
        <v>560</v>
      </c>
      <c r="H29" s="48">
        <v>35</v>
      </c>
      <c r="I29" s="106">
        <v>4.55</v>
      </c>
      <c r="J29" s="107">
        <v>0.68</v>
      </c>
      <c r="K29" s="48">
        <v>3</v>
      </c>
      <c r="L29" s="49" t="s">
        <v>651</v>
      </c>
    </row>
    <row r="30" spans="1:12" ht="42" customHeight="1" x14ac:dyDescent="0.2">
      <c r="A30" s="48">
        <v>25</v>
      </c>
      <c r="B30" s="49" t="s">
        <v>639</v>
      </c>
      <c r="C30" s="48" t="s">
        <v>652</v>
      </c>
      <c r="D30" s="50" t="s">
        <v>653</v>
      </c>
      <c r="E30" s="51" t="s">
        <v>654</v>
      </c>
      <c r="F30" s="52" t="s">
        <v>559</v>
      </c>
      <c r="G30" s="48" t="s">
        <v>581</v>
      </c>
      <c r="H30" s="48">
        <v>50</v>
      </c>
      <c r="I30" s="106">
        <v>6.5</v>
      </c>
      <c r="J30" s="107">
        <v>0.98</v>
      </c>
      <c r="K30" s="48">
        <v>4</v>
      </c>
      <c r="L30" s="49" t="s">
        <v>655</v>
      </c>
    </row>
    <row r="31" spans="1:12" ht="42" customHeight="1" x14ac:dyDescent="0.2">
      <c r="A31" s="48">
        <v>26</v>
      </c>
      <c r="B31" s="49" t="s">
        <v>639</v>
      </c>
      <c r="C31" s="48" t="s">
        <v>656</v>
      </c>
      <c r="D31" s="50" t="s">
        <v>657</v>
      </c>
      <c r="E31" s="51" t="s">
        <v>658</v>
      </c>
      <c r="F31" s="52" t="s">
        <v>559</v>
      </c>
      <c r="G31" s="48" t="s">
        <v>586</v>
      </c>
      <c r="H31" s="48">
        <v>18</v>
      </c>
      <c r="I31" s="106">
        <v>2.34</v>
      </c>
      <c r="J31" s="107">
        <v>0.35</v>
      </c>
      <c r="K31" s="48">
        <v>2</v>
      </c>
      <c r="L31" s="49" t="s">
        <v>659</v>
      </c>
    </row>
    <row r="32" spans="1:12" ht="42" customHeight="1" x14ac:dyDescent="0.2">
      <c r="A32" s="48">
        <v>27</v>
      </c>
      <c r="B32" s="49" t="s">
        <v>639</v>
      </c>
      <c r="C32" s="48" t="s">
        <v>660</v>
      </c>
      <c r="D32" s="50" t="s">
        <v>661</v>
      </c>
      <c r="E32" s="51" t="s">
        <v>662</v>
      </c>
      <c r="F32" s="52" t="s">
        <v>559</v>
      </c>
      <c r="G32" s="48" t="s">
        <v>581</v>
      </c>
      <c r="H32" s="48">
        <v>55</v>
      </c>
      <c r="I32" s="106">
        <v>7.15</v>
      </c>
      <c r="J32" s="107">
        <v>1.07</v>
      </c>
      <c r="K32" s="48">
        <v>5</v>
      </c>
      <c r="L32" s="49" t="s">
        <v>663</v>
      </c>
    </row>
    <row r="33" spans="1:12" ht="42" customHeight="1" x14ac:dyDescent="0.2">
      <c r="A33" s="48">
        <v>28</v>
      </c>
      <c r="B33" s="49" t="s">
        <v>639</v>
      </c>
      <c r="C33" s="48" t="s">
        <v>664</v>
      </c>
      <c r="D33" s="50" t="s">
        <v>665</v>
      </c>
      <c r="E33" s="51" t="s">
        <v>666</v>
      </c>
      <c r="F33" s="52" t="s">
        <v>559</v>
      </c>
      <c r="G33" s="48" t="s">
        <v>560</v>
      </c>
      <c r="H33" s="48">
        <v>35</v>
      </c>
      <c r="I33" s="106">
        <v>4.55</v>
      </c>
      <c r="J33" s="107">
        <v>0.68</v>
      </c>
      <c r="K33" s="48">
        <v>3</v>
      </c>
      <c r="L33" s="49" t="s">
        <v>667</v>
      </c>
    </row>
    <row r="34" spans="1:12" ht="42" customHeight="1" x14ac:dyDescent="0.2">
      <c r="A34" s="48">
        <v>29</v>
      </c>
      <c r="B34" s="49" t="s">
        <v>639</v>
      </c>
      <c r="C34" s="48" t="s">
        <v>668</v>
      </c>
      <c r="D34" s="50" t="s">
        <v>669</v>
      </c>
      <c r="E34" s="51" t="s">
        <v>670</v>
      </c>
      <c r="F34" s="52" t="s">
        <v>559</v>
      </c>
      <c r="G34" s="48" t="s">
        <v>586</v>
      </c>
      <c r="H34" s="48">
        <v>22</v>
      </c>
      <c r="I34" s="106">
        <v>2.86</v>
      </c>
      <c r="J34" s="107">
        <v>0.43</v>
      </c>
      <c r="K34" s="48">
        <v>2</v>
      </c>
      <c r="L34" s="49" t="s">
        <v>671</v>
      </c>
    </row>
    <row r="35" spans="1:12" ht="42" customHeight="1" x14ac:dyDescent="0.2">
      <c r="A35" s="48">
        <v>30</v>
      </c>
      <c r="B35" s="49" t="s">
        <v>639</v>
      </c>
      <c r="C35" s="48" t="s">
        <v>672</v>
      </c>
      <c r="D35" s="50" t="s">
        <v>673</v>
      </c>
      <c r="E35" s="51" t="s">
        <v>674</v>
      </c>
      <c r="F35" s="52" t="s">
        <v>559</v>
      </c>
      <c r="G35" s="48" t="s">
        <v>560</v>
      </c>
      <c r="H35" s="48">
        <v>35</v>
      </c>
      <c r="I35" s="106">
        <v>4.55</v>
      </c>
      <c r="J35" s="107">
        <v>0.68</v>
      </c>
      <c r="K35" s="48">
        <v>3</v>
      </c>
      <c r="L35" s="49" t="s">
        <v>675</v>
      </c>
    </row>
    <row r="36" spans="1:12" ht="42" customHeight="1" x14ac:dyDescent="0.2">
      <c r="A36" s="48">
        <v>31</v>
      </c>
      <c r="B36" s="49" t="s">
        <v>639</v>
      </c>
      <c r="C36" s="48" t="s">
        <v>676</v>
      </c>
      <c r="D36" s="50" t="s">
        <v>677</v>
      </c>
      <c r="E36" s="51" t="s">
        <v>678</v>
      </c>
      <c r="F36" s="52" t="s">
        <v>559</v>
      </c>
      <c r="G36" s="48" t="s">
        <v>586</v>
      </c>
      <c r="H36" s="48">
        <v>28</v>
      </c>
      <c r="I36" s="106">
        <v>3.64</v>
      </c>
      <c r="J36" s="107">
        <v>0.55000000000000004</v>
      </c>
      <c r="K36" s="48">
        <v>3</v>
      </c>
      <c r="L36" s="49" t="s">
        <v>679</v>
      </c>
    </row>
    <row r="37" spans="1:12" ht="25.5" customHeight="1" x14ac:dyDescent="0.2">
      <c r="A37" s="125" t="s">
        <v>680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</row>
    <row r="38" spans="1:12" ht="42" customHeight="1" x14ac:dyDescent="0.2">
      <c r="A38" s="54">
        <v>32</v>
      </c>
      <c r="B38" s="55" t="s">
        <v>681</v>
      </c>
      <c r="C38" s="54" t="s">
        <v>682</v>
      </c>
      <c r="D38" s="56" t="s">
        <v>683</v>
      </c>
      <c r="E38" s="57" t="s">
        <v>684</v>
      </c>
      <c r="F38" s="58" t="s">
        <v>559</v>
      </c>
      <c r="G38" s="54" t="s">
        <v>560</v>
      </c>
      <c r="H38" s="54">
        <v>40</v>
      </c>
      <c r="I38" s="108">
        <v>4.8</v>
      </c>
      <c r="J38" s="109">
        <v>0.72</v>
      </c>
      <c r="K38" s="54">
        <v>4</v>
      </c>
      <c r="L38" s="55" t="s">
        <v>685</v>
      </c>
    </row>
    <row r="39" spans="1:12" ht="42" customHeight="1" x14ac:dyDescent="0.2">
      <c r="A39" s="54">
        <v>33</v>
      </c>
      <c r="B39" s="55" t="s">
        <v>681</v>
      </c>
      <c r="C39" s="54" t="s">
        <v>686</v>
      </c>
      <c r="D39" s="56" t="s">
        <v>687</v>
      </c>
      <c r="E39" s="57" t="s">
        <v>688</v>
      </c>
      <c r="F39" s="58" t="s">
        <v>559</v>
      </c>
      <c r="G39" s="54" t="s">
        <v>560</v>
      </c>
      <c r="H39" s="54">
        <v>35</v>
      </c>
      <c r="I39" s="108">
        <v>4.2</v>
      </c>
      <c r="J39" s="109">
        <v>0.63</v>
      </c>
      <c r="K39" s="54">
        <v>3</v>
      </c>
      <c r="L39" s="55" t="s">
        <v>685</v>
      </c>
    </row>
    <row r="40" spans="1:12" ht="42" customHeight="1" x14ac:dyDescent="0.2">
      <c r="A40" s="54">
        <v>34</v>
      </c>
      <c r="B40" s="55" t="s">
        <v>681</v>
      </c>
      <c r="C40" s="54" t="s">
        <v>689</v>
      </c>
      <c r="D40" s="56" t="s">
        <v>690</v>
      </c>
      <c r="E40" s="57" t="s">
        <v>691</v>
      </c>
      <c r="F40" s="58" t="s">
        <v>559</v>
      </c>
      <c r="G40" s="54" t="s">
        <v>560</v>
      </c>
      <c r="H40" s="54">
        <v>45</v>
      </c>
      <c r="I40" s="108">
        <v>5.4</v>
      </c>
      <c r="J40" s="109">
        <v>0.81</v>
      </c>
      <c r="K40" s="54">
        <v>4</v>
      </c>
      <c r="L40" s="55" t="s">
        <v>692</v>
      </c>
    </row>
    <row r="41" spans="1:12" ht="42" customHeight="1" x14ac:dyDescent="0.2">
      <c r="A41" s="54">
        <v>35</v>
      </c>
      <c r="B41" s="55" t="s">
        <v>681</v>
      </c>
      <c r="C41" s="54" t="s">
        <v>693</v>
      </c>
      <c r="D41" s="56" t="s">
        <v>694</v>
      </c>
      <c r="E41" s="57" t="s">
        <v>695</v>
      </c>
      <c r="F41" s="58" t="s">
        <v>559</v>
      </c>
      <c r="G41" s="54" t="s">
        <v>560</v>
      </c>
      <c r="H41" s="54">
        <v>35</v>
      </c>
      <c r="I41" s="108">
        <v>4.55</v>
      </c>
      <c r="J41" s="109">
        <v>0.68</v>
      </c>
      <c r="K41" s="54">
        <v>3</v>
      </c>
      <c r="L41" s="55" t="s">
        <v>696</v>
      </c>
    </row>
    <row r="42" spans="1:12" ht="42" customHeight="1" x14ac:dyDescent="0.2">
      <c r="A42" s="54">
        <v>36</v>
      </c>
      <c r="B42" s="55" t="s">
        <v>681</v>
      </c>
      <c r="C42" s="54" t="s">
        <v>697</v>
      </c>
      <c r="D42" s="56" t="s">
        <v>99</v>
      </c>
      <c r="E42" s="57" t="s">
        <v>698</v>
      </c>
      <c r="F42" s="58" t="s">
        <v>559</v>
      </c>
      <c r="G42" s="54" t="s">
        <v>560</v>
      </c>
      <c r="H42" s="54">
        <v>40</v>
      </c>
      <c r="I42" s="108">
        <v>4.8</v>
      </c>
      <c r="J42" s="109">
        <v>0.72</v>
      </c>
      <c r="K42" s="54">
        <v>4</v>
      </c>
      <c r="L42" s="55" t="s">
        <v>699</v>
      </c>
    </row>
    <row r="43" spans="1:12" ht="42" customHeight="1" x14ac:dyDescent="0.2">
      <c r="A43" s="54">
        <v>37</v>
      </c>
      <c r="B43" s="55" t="s">
        <v>681</v>
      </c>
      <c r="C43" s="54" t="s">
        <v>700</v>
      </c>
      <c r="D43" s="56" t="s">
        <v>701</v>
      </c>
      <c r="E43" s="57" t="s">
        <v>702</v>
      </c>
      <c r="F43" s="58" t="s">
        <v>559</v>
      </c>
      <c r="G43" s="54" t="s">
        <v>581</v>
      </c>
      <c r="H43" s="54">
        <v>55</v>
      </c>
      <c r="I43" s="108">
        <v>7.15</v>
      </c>
      <c r="J43" s="109">
        <v>1.07</v>
      </c>
      <c r="K43" s="54">
        <v>5</v>
      </c>
      <c r="L43" s="55" t="s">
        <v>703</v>
      </c>
    </row>
    <row r="44" spans="1:12" ht="42" customHeight="1" x14ac:dyDescent="0.2">
      <c r="A44" s="54">
        <v>38</v>
      </c>
      <c r="B44" s="55" t="s">
        <v>681</v>
      </c>
      <c r="C44" s="54" t="s">
        <v>704</v>
      </c>
      <c r="D44" s="56" t="s">
        <v>111</v>
      </c>
      <c r="E44" s="57" t="s">
        <v>705</v>
      </c>
      <c r="F44" s="58" t="s">
        <v>559</v>
      </c>
      <c r="G44" s="54" t="s">
        <v>560</v>
      </c>
      <c r="H44" s="54">
        <v>40</v>
      </c>
      <c r="I44" s="108">
        <v>5.2</v>
      </c>
      <c r="J44" s="109">
        <v>0.78</v>
      </c>
      <c r="K44" s="54">
        <v>4</v>
      </c>
      <c r="L44" s="55" t="s">
        <v>706</v>
      </c>
    </row>
    <row r="45" spans="1:12" ht="42" customHeight="1" x14ac:dyDescent="0.2">
      <c r="A45" s="54">
        <v>39</v>
      </c>
      <c r="B45" s="55" t="s">
        <v>681</v>
      </c>
      <c r="C45" s="54" t="s">
        <v>707</v>
      </c>
      <c r="D45" s="56" t="s">
        <v>708</v>
      </c>
      <c r="E45" s="57" t="s">
        <v>709</v>
      </c>
      <c r="F45" s="58" t="s">
        <v>559</v>
      </c>
      <c r="G45" s="54" t="s">
        <v>586</v>
      </c>
      <c r="H45" s="54">
        <v>25</v>
      </c>
      <c r="I45" s="108">
        <v>3</v>
      </c>
      <c r="J45" s="109">
        <v>0.45</v>
      </c>
      <c r="K45" s="54">
        <v>3</v>
      </c>
      <c r="L45" s="55" t="s">
        <v>710</v>
      </c>
    </row>
    <row r="46" spans="1:12" ht="42" customHeight="1" x14ac:dyDescent="0.2">
      <c r="A46" s="54">
        <v>40</v>
      </c>
      <c r="B46" s="55" t="s">
        <v>681</v>
      </c>
      <c r="C46" s="54" t="s">
        <v>711</v>
      </c>
      <c r="D46" s="56" t="s">
        <v>306</v>
      </c>
      <c r="E46" s="57" t="s">
        <v>712</v>
      </c>
      <c r="F46" s="58" t="s">
        <v>559</v>
      </c>
      <c r="G46" s="54" t="s">
        <v>581</v>
      </c>
      <c r="H46" s="54">
        <v>50</v>
      </c>
      <c r="I46" s="108">
        <v>6.5</v>
      </c>
      <c r="J46" s="109">
        <v>0.98</v>
      </c>
      <c r="K46" s="54">
        <v>5</v>
      </c>
      <c r="L46" s="55" t="s">
        <v>713</v>
      </c>
    </row>
    <row r="47" spans="1:12" ht="42" customHeight="1" x14ac:dyDescent="0.2">
      <c r="A47" s="54">
        <v>41</v>
      </c>
      <c r="B47" s="55" t="s">
        <v>681</v>
      </c>
      <c r="C47" s="54" t="s">
        <v>714</v>
      </c>
      <c r="D47" s="56" t="s">
        <v>715</v>
      </c>
      <c r="E47" s="57" t="s">
        <v>716</v>
      </c>
      <c r="F47" s="58" t="s">
        <v>559</v>
      </c>
      <c r="G47" s="54" t="s">
        <v>560</v>
      </c>
      <c r="H47" s="54">
        <v>40</v>
      </c>
      <c r="I47" s="108">
        <v>5.2</v>
      </c>
      <c r="J47" s="109">
        <v>0.78</v>
      </c>
      <c r="K47" s="54">
        <v>4</v>
      </c>
      <c r="L47" s="55" t="s">
        <v>710</v>
      </c>
    </row>
    <row r="48" spans="1:12" ht="42" customHeight="1" x14ac:dyDescent="0.2">
      <c r="A48" s="54">
        <v>42</v>
      </c>
      <c r="B48" s="55" t="s">
        <v>681</v>
      </c>
      <c r="C48" s="54" t="s">
        <v>717</v>
      </c>
      <c r="D48" s="56" t="s">
        <v>107</v>
      </c>
      <c r="E48" s="57" t="s">
        <v>718</v>
      </c>
      <c r="F48" s="60" t="s">
        <v>602</v>
      </c>
      <c r="G48" s="54" t="s">
        <v>560</v>
      </c>
      <c r="H48" s="54">
        <v>35</v>
      </c>
      <c r="I48" s="108">
        <v>4.2</v>
      </c>
      <c r="J48" s="109">
        <v>0.63</v>
      </c>
      <c r="K48" s="54">
        <v>4</v>
      </c>
      <c r="L48" s="55" t="s">
        <v>719</v>
      </c>
    </row>
    <row r="49" spans="1:12" ht="42" customHeight="1" x14ac:dyDescent="0.2">
      <c r="A49" s="54">
        <v>43</v>
      </c>
      <c r="B49" s="55" t="s">
        <v>681</v>
      </c>
      <c r="C49" s="54" t="s">
        <v>720</v>
      </c>
      <c r="D49" s="56" t="s">
        <v>339</v>
      </c>
      <c r="E49" s="57" t="s">
        <v>721</v>
      </c>
      <c r="F49" s="58" t="s">
        <v>559</v>
      </c>
      <c r="G49" s="54" t="s">
        <v>586</v>
      </c>
      <c r="H49" s="54">
        <v>22</v>
      </c>
      <c r="I49" s="108">
        <v>2.86</v>
      </c>
      <c r="J49" s="109">
        <v>0.43</v>
      </c>
      <c r="K49" s="54">
        <v>2</v>
      </c>
      <c r="L49" s="55" t="s">
        <v>722</v>
      </c>
    </row>
    <row r="50" spans="1:12" ht="42" customHeight="1" x14ac:dyDescent="0.2">
      <c r="A50" s="54">
        <v>44</v>
      </c>
      <c r="B50" s="55" t="s">
        <v>681</v>
      </c>
      <c r="C50" s="54" t="s">
        <v>723</v>
      </c>
      <c r="D50" s="56" t="s">
        <v>342</v>
      </c>
      <c r="E50" s="57" t="s">
        <v>724</v>
      </c>
      <c r="F50" s="58" t="s">
        <v>559</v>
      </c>
      <c r="G50" s="54" t="s">
        <v>603</v>
      </c>
      <c r="H50" s="54">
        <v>12</v>
      </c>
      <c r="I50" s="108">
        <v>1.44</v>
      </c>
      <c r="J50" s="109">
        <v>0.22</v>
      </c>
      <c r="K50" s="54">
        <v>1</v>
      </c>
      <c r="L50" s="55" t="s">
        <v>725</v>
      </c>
    </row>
    <row r="51" spans="1:12" ht="42" customHeight="1" x14ac:dyDescent="0.2">
      <c r="A51" s="54">
        <v>45</v>
      </c>
      <c r="B51" s="55" t="s">
        <v>681</v>
      </c>
      <c r="C51" s="54" t="s">
        <v>726</v>
      </c>
      <c r="D51" s="56" t="s">
        <v>727</v>
      </c>
      <c r="E51" s="57" t="s">
        <v>728</v>
      </c>
      <c r="F51" s="58" t="s">
        <v>559</v>
      </c>
      <c r="G51" s="54" t="s">
        <v>586</v>
      </c>
      <c r="H51" s="54">
        <v>25</v>
      </c>
      <c r="I51" s="108">
        <v>3</v>
      </c>
      <c r="J51" s="109">
        <v>0.45</v>
      </c>
      <c r="K51" s="54">
        <v>3</v>
      </c>
      <c r="L51" s="55" t="s">
        <v>710</v>
      </c>
    </row>
    <row r="52" spans="1:12" ht="25.5" customHeight="1" x14ac:dyDescent="0.2">
      <c r="A52" s="125" t="s">
        <v>729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</row>
    <row r="53" spans="1:12" ht="42" customHeight="1" x14ac:dyDescent="0.2">
      <c r="A53" s="61">
        <v>46</v>
      </c>
      <c r="B53" s="62" t="s">
        <v>730</v>
      </c>
      <c r="C53" s="61" t="s">
        <v>731</v>
      </c>
      <c r="D53" s="63" t="s">
        <v>732</v>
      </c>
      <c r="E53" s="64" t="s">
        <v>733</v>
      </c>
      <c r="F53" s="65" t="s">
        <v>559</v>
      </c>
      <c r="G53" s="61" t="s">
        <v>586</v>
      </c>
      <c r="H53" s="61">
        <v>20</v>
      </c>
      <c r="I53" s="110">
        <v>2.4</v>
      </c>
      <c r="J53" s="111">
        <v>0.36</v>
      </c>
      <c r="K53" s="61">
        <v>2</v>
      </c>
      <c r="L53" s="62" t="s">
        <v>734</v>
      </c>
    </row>
    <row r="54" spans="1:12" ht="42" customHeight="1" x14ac:dyDescent="0.2">
      <c r="A54" s="61">
        <v>47</v>
      </c>
      <c r="B54" s="62" t="s">
        <v>730</v>
      </c>
      <c r="C54" s="61" t="s">
        <v>735</v>
      </c>
      <c r="D54" s="63" t="s">
        <v>736</v>
      </c>
      <c r="E54" s="64" t="s">
        <v>737</v>
      </c>
      <c r="F54" s="65" t="s">
        <v>559</v>
      </c>
      <c r="G54" s="61" t="s">
        <v>586</v>
      </c>
      <c r="H54" s="61">
        <v>25</v>
      </c>
      <c r="I54" s="110">
        <v>3</v>
      </c>
      <c r="J54" s="111">
        <v>0.45</v>
      </c>
      <c r="K54" s="61">
        <v>3</v>
      </c>
      <c r="L54" s="62" t="s">
        <v>710</v>
      </c>
    </row>
    <row r="55" spans="1:12" ht="42" customHeight="1" x14ac:dyDescent="0.2">
      <c r="A55" s="61">
        <v>48</v>
      </c>
      <c r="B55" s="62" t="s">
        <v>730</v>
      </c>
      <c r="C55" s="61" t="s">
        <v>738</v>
      </c>
      <c r="D55" s="63" t="s">
        <v>739</v>
      </c>
      <c r="E55" s="64" t="s">
        <v>740</v>
      </c>
      <c r="F55" s="65" t="s">
        <v>559</v>
      </c>
      <c r="G55" s="61" t="s">
        <v>586</v>
      </c>
      <c r="H55" s="61">
        <v>22</v>
      </c>
      <c r="I55" s="110">
        <v>2.64</v>
      </c>
      <c r="J55" s="111">
        <v>0.4</v>
      </c>
      <c r="K55" s="61">
        <v>2</v>
      </c>
      <c r="L55" s="62" t="s">
        <v>741</v>
      </c>
    </row>
    <row r="56" spans="1:12" ht="42" customHeight="1" x14ac:dyDescent="0.2">
      <c r="A56" s="61">
        <v>49</v>
      </c>
      <c r="B56" s="62" t="s">
        <v>730</v>
      </c>
      <c r="C56" s="61" t="s">
        <v>742</v>
      </c>
      <c r="D56" s="63" t="s">
        <v>743</v>
      </c>
      <c r="E56" s="64" t="s">
        <v>744</v>
      </c>
      <c r="F56" s="66" t="s">
        <v>602</v>
      </c>
      <c r="G56" s="61" t="s">
        <v>586</v>
      </c>
      <c r="H56" s="61">
        <v>20</v>
      </c>
      <c r="I56" s="110">
        <v>2.4</v>
      </c>
      <c r="J56" s="111">
        <v>0.36</v>
      </c>
      <c r="K56" s="61">
        <v>2</v>
      </c>
      <c r="L56" s="62" t="s">
        <v>604</v>
      </c>
    </row>
    <row r="57" spans="1:12" ht="42" customHeight="1" x14ac:dyDescent="0.2">
      <c r="A57" s="61">
        <v>50</v>
      </c>
      <c r="B57" s="62" t="s">
        <v>730</v>
      </c>
      <c r="C57" s="61" t="s">
        <v>745</v>
      </c>
      <c r="D57" s="63" t="s">
        <v>746</v>
      </c>
      <c r="E57" s="64" t="s">
        <v>747</v>
      </c>
      <c r="F57" s="65" t="s">
        <v>559</v>
      </c>
      <c r="G57" s="61" t="s">
        <v>560</v>
      </c>
      <c r="H57" s="61">
        <v>35</v>
      </c>
      <c r="I57" s="110">
        <v>4.2</v>
      </c>
      <c r="J57" s="111">
        <v>0.63</v>
      </c>
      <c r="K57" s="61">
        <v>3</v>
      </c>
      <c r="L57" s="62" t="s">
        <v>710</v>
      </c>
    </row>
    <row r="58" spans="1:12" ht="42" customHeight="1" x14ac:dyDescent="0.2">
      <c r="A58" s="61">
        <v>51</v>
      </c>
      <c r="B58" s="62" t="s">
        <v>730</v>
      </c>
      <c r="C58" s="61" t="s">
        <v>748</v>
      </c>
      <c r="D58" s="63" t="s">
        <v>749</v>
      </c>
      <c r="E58" s="64" t="s">
        <v>750</v>
      </c>
      <c r="F58" s="65" t="s">
        <v>559</v>
      </c>
      <c r="G58" s="61" t="s">
        <v>560</v>
      </c>
      <c r="H58" s="61">
        <v>35</v>
      </c>
      <c r="I58" s="110">
        <v>4.2</v>
      </c>
      <c r="J58" s="111">
        <v>0.63</v>
      </c>
      <c r="K58" s="61">
        <v>3</v>
      </c>
      <c r="L58" s="62" t="s">
        <v>751</v>
      </c>
    </row>
    <row r="59" spans="1:12" ht="42" customHeight="1" x14ac:dyDescent="0.2">
      <c r="A59" s="61">
        <v>52</v>
      </c>
      <c r="B59" s="62" t="s">
        <v>730</v>
      </c>
      <c r="C59" s="61" t="s">
        <v>752</v>
      </c>
      <c r="D59" s="63" t="s">
        <v>753</v>
      </c>
      <c r="E59" s="64" t="s">
        <v>754</v>
      </c>
      <c r="F59" s="65" t="s">
        <v>559</v>
      </c>
      <c r="G59" s="61" t="s">
        <v>586</v>
      </c>
      <c r="H59" s="61">
        <v>22</v>
      </c>
      <c r="I59" s="110">
        <v>2.86</v>
      </c>
      <c r="J59" s="111">
        <v>0.43</v>
      </c>
      <c r="K59" s="61">
        <v>2</v>
      </c>
      <c r="L59" s="62" t="s">
        <v>755</v>
      </c>
    </row>
    <row r="60" spans="1:12" ht="42" customHeight="1" x14ac:dyDescent="0.2">
      <c r="A60" s="61">
        <v>53</v>
      </c>
      <c r="B60" s="62" t="s">
        <v>730</v>
      </c>
      <c r="C60" s="61" t="s">
        <v>756</v>
      </c>
      <c r="D60" s="63" t="s">
        <v>757</v>
      </c>
      <c r="E60" s="64" t="s">
        <v>758</v>
      </c>
      <c r="F60" s="65" t="s">
        <v>559</v>
      </c>
      <c r="G60" s="61" t="s">
        <v>603</v>
      </c>
      <c r="H60" s="61">
        <v>15</v>
      </c>
      <c r="I60" s="110">
        <v>1.8</v>
      </c>
      <c r="J60" s="111">
        <v>0.27</v>
      </c>
      <c r="K60" s="61">
        <v>2</v>
      </c>
      <c r="L60" s="62" t="s">
        <v>710</v>
      </c>
    </row>
    <row r="61" spans="1:12" ht="42" customHeight="1" x14ac:dyDescent="0.2">
      <c r="A61" s="61">
        <v>54</v>
      </c>
      <c r="B61" s="62" t="s">
        <v>730</v>
      </c>
      <c r="C61" s="61" t="s">
        <v>759</v>
      </c>
      <c r="D61" s="63" t="s">
        <v>760</v>
      </c>
      <c r="E61" s="64" t="s">
        <v>761</v>
      </c>
      <c r="F61" s="65" t="s">
        <v>559</v>
      </c>
      <c r="G61" s="61" t="s">
        <v>581</v>
      </c>
      <c r="H61" s="61">
        <v>55</v>
      </c>
      <c r="I61" s="110">
        <v>6.6</v>
      </c>
      <c r="J61" s="111">
        <v>0.99</v>
      </c>
      <c r="K61" s="61">
        <v>5</v>
      </c>
      <c r="L61" s="62" t="s">
        <v>762</v>
      </c>
    </row>
    <row r="62" spans="1:12" ht="42" customHeight="1" x14ac:dyDescent="0.2">
      <c r="A62" s="61">
        <v>55</v>
      </c>
      <c r="B62" s="62" t="s">
        <v>730</v>
      </c>
      <c r="C62" s="61" t="s">
        <v>763</v>
      </c>
      <c r="D62" s="63" t="s">
        <v>764</v>
      </c>
      <c r="E62" s="64" t="s">
        <v>765</v>
      </c>
      <c r="F62" s="65" t="s">
        <v>559</v>
      </c>
      <c r="G62" s="61" t="s">
        <v>560</v>
      </c>
      <c r="H62" s="61">
        <v>45</v>
      </c>
      <c r="I62" s="110">
        <v>5.4</v>
      </c>
      <c r="J62" s="111">
        <v>0.81</v>
      </c>
      <c r="K62" s="61">
        <v>4</v>
      </c>
      <c r="L62" s="62" t="s">
        <v>710</v>
      </c>
    </row>
    <row r="63" spans="1:12" ht="42" customHeight="1" x14ac:dyDescent="0.2">
      <c r="A63" s="61">
        <v>56</v>
      </c>
      <c r="B63" s="62" t="s">
        <v>730</v>
      </c>
      <c r="C63" s="61" t="s">
        <v>766</v>
      </c>
      <c r="D63" s="63" t="s">
        <v>767</v>
      </c>
      <c r="E63" s="64" t="s">
        <v>768</v>
      </c>
      <c r="F63" s="65" t="s">
        <v>559</v>
      </c>
      <c r="G63" s="61" t="s">
        <v>560</v>
      </c>
      <c r="H63" s="61">
        <v>35</v>
      </c>
      <c r="I63" s="110">
        <v>4.2</v>
      </c>
      <c r="J63" s="111">
        <v>0.63</v>
      </c>
      <c r="K63" s="61">
        <v>3</v>
      </c>
      <c r="L63" s="62" t="s">
        <v>734</v>
      </c>
    </row>
    <row r="64" spans="1:12" ht="42" customHeight="1" x14ac:dyDescent="0.2">
      <c r="A64" s="61">
        <v>57</v>
      </c>
      <c r="B64" s="62" t="s">
        <v>730</v>
      </c>
      <c r="C64" s="61" t="s">
        <v>769</v>
      </c>
      <c r="D64" s="63" t="s">
        <v>770</v>
      </c>
      <c r="E64" s="64" t="s">
        <v>771</v>
      </c>
      <c r="F64" s="66" t="s">
        <v>602</v>
      </c>
      <c r="G64" s="61" t="s">
        <v>586</v>
      </c>
      <c r="H64" s="61">
        <v>22</v>
      </c>
      <c r="I64" s="110">
        <v>2.64</v>
      </c>
      <c r="J64" s="111">
        <v>0.4</v>
      </c>
      <c r="K64" s="61">
        <v>2</v>
      </c>
      <c r="L64" s="62" t="s">
        <v>604</v>
      </c>
    </row>
    <row r="65" spans="1:12" ht="42" customHeight="1" x14ac:dyDescent="0.2">
      <c r="A65" s="61">
        <v>58</v>
      </c>
      <c r="B65" s="62" t="s">
        <v>730</v>
      </c>
      <c r="C65" s="61" t="s">
        <v>772</v>
      </c>
      <c r="D65" s="63" t="s">
        <v>773</v>
      </c>
      <c r="E65" s="64" t="s">
        <v>774</v>
      </c>
      <c r="F65" s="65" t="s">
        <v>559</v>
      </c>
      <c r="G65" s="61" t="s">
        <v>586</v>
      </c>
      <c r="H65" s="61">
        <v>25</v>
      </c>
      <c r="I65" s="110">
        <v>3.25</v>
      </c>
      <c r="J65" s="111">
        <v>0.49</v>
      </c>
      <c r="K65" s="61">
        <v>3</v>
      </c>
      <c r="L65" s="62" t="s">
        <v>775</v>
      </c>
    </row>
    <row r="66" spans="1:12" ht="42" customHeight="1" x14ac:dyDescent="0.2">
      <c r="A66" s="61">
        <v>59</v>
      </c>
      <c r="B66" s="62" t="s">
        <v>730</v>
      </c>
      <c r="C66" s="61" t="s">
        <v>776</v>
      </c>
      <c r="D66" s="63" t="s">
        <v>777</v>
      </c>
      <c r="E66" s="64" t="s">
        <v>778</v>
      </c>
      <c r="F66" s="66" t="s">
        <v>602</v>
      </c>
      <c r="G66" s="61" t="s">
        <v>586</v>
      </c>
      <c r="H66" s="61">
        <v>25</v>
      </c>
      <c r="I66" s="110">
        <v>3.25</v>
      </c>
      <c r="J66" s="111">
        <v>0.49</v>
      </c>
      <c r="K66" s="61">
        <v>3</v>
      </c>
      <c r="L66" s="62" t="s">
        <v>604</v>
      </c>
    </row>
    <row r="67" spans="1:12" ht="42" customHeight="1" x14ac:dyDescent="0.2">
      <c r="A67" s="61">
        <v>60</v>
      </c>
      <c r="B67" s="62" t="s">
        <v>730</v>
      </c>
      <c r="C67" s="61" t="s">
        <v>779</v>
      </c>
      <c r="D67" s="63" t="s">
        <v>780</v>
      </c>
      <c r="E67" s="64" t="s">
        <v>781</v>
      </c>
      <c r="F67" s="66" t="s">
        <v>602</v>
      </c>
      <c r="G67" s="61" t="s">
        <v>586</v>
      </c>
      <c r="H67" s="61">
        <v>22</v>
      </c>
      <c r="I67" s="110">
        <v>2.86</v>
      </c>
      <c r="J67" s="111">
        <v>0.43</v>
      </c>
      <c r="K67" s="61">
        <v>2</v>
      </c>
      <c r="L67" s="62" t="s">
        <v>782</v>
      </c>
    </row>
    <row r="68" spans="1:12" ht="42" customHeight="1" x14ac:dyDescent="0.2">
      <c r="A68" s="61">
        <v>61</v>
      </c>
      <c r="B68" s="62" t="s">
        <v>730</v>
      </c>
      <c r="C68" s="61" t="s">
        <v>783</v>
      </c>
      <c r="D68" s="63" t="s">
        <v>784</v>
      </c>
      <c r="E68" s="64" t="s">
        <v>785</v>
      </c>
      <c r="F68" s="65" t="s">
        <v>559</v>
      </c>
      <c r="G68" s="61" t="s">
        <v>603</v>
      </c>
      <c r="H68" s="61">
        <v>12</v>
      </c>
      <c r="I68" s="110">
        <v>1.44</v>
      </c>
      <c r="J68" s="111">
        <v>0.22</v>
      </c>
      <c r="K68" s="61">
        <v>1</v>
      </c>
      <c r="L68" s="62" t="s">
        <v>786</v>
      </c>
    </row>
    <row r="69" spans="1:12" ht="25.5" customHeight="1" x14ac:dyDescent="0.2">
      <c r="A69" s="125" t="s">
        <v>787</v>
      </c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</row>
    <row r="70" spans="1:12" ht="42" customHeight="1" x14ac:dyDescent="0.2">
      <c r="A70" s="67">
        <v>62</v>
      </c>
      <c r="B70" s="68" t="s">
        <v>788</v>
      </c>
      <c r="C70" s="67" t="s">
        <v>789</v>
      </c>
      <c r="D70" s="69" t="s">
        <v>790</v>
      </c>
      <c r="E70" s="70" t="s">
        <v>791</v>
      </c>
      <c r="F70" s="71" t="s">
        <v>559</v>
      </c>
      <c r="G70" s="67" t="s">
        <v>560</v>
      </c>
      <c r="H70" s="67">
        <v>35</v>
      </c>
      <c r="I70" s="112">
        <v>4.55</v>
      </c>
      <c r="J70" s="113">
        <v>0.68</v>
      </c>
      <c r="K70" s="67">
        <v>3</v>
      </c>
      <c r="L70" s="68" t="s">
        <v>710</v>
      </c>
    </row>
    <row r="71" spans="1:12" ht="42" customHeight="1" x14ac:dyDescent="0.2">
      <c r="A71" s="67">
        <v>63</v>
      </c>
      <c r="B71" s="68" t="s">
        <v>788</v>
      </c>
      <c r="C71" s="67" t="s">
        <v>792</v>
      </c>
      <c r="D71" s="69" t="s">
        <v>793</v>
      </c>
      <c r="E71" s="70" t="s">
        <v>794</v>
      </c>
      <c r="F71" s="71" t="s">
        <v>559</v>
      </c>
      <c r="G71" s="67" t="s">
        <v>560</v>
      </c>
      <c r="H71" s="67">
        <v>40</v>
      </c>
      <c r="I71" s="112">
        <v>5.2</v>
      </c>
      <c r="J71" s="113">
        <v>0.78</v>
      </c>
      <c r="K71" s="67">
        <v>4</v>
      </c>
      <c r="L71" s="68" t="s">
        <v>699</v>
      </c>
    </row>
    <row r="72" spans="1:12" ht="42" customHeight="1" x14ac:dyDescent="0.2">
      <c r="A72" s="67">
        <v>64</v>
      </c>
      <c r="B72" s="68" t="s">
        <v>788</v>
      </c>
      <c r="C72" s="67" t="s">
        <v>795</v>
      </c>
      <c r="D72" s="69" t="s">
        <v>796</v>
      </c>
      <c r="E72" s="70" t="s">
        <v>797</v>
      </c>
      <c r="F72" s="71" t="s">
        <v>559</v>
      </c>
      <c r="G72" s="67" t="s">
        <v>586</v>
      </c>
      <c r="H72" s="67">
        <v>25</v>
      </c>
      <c r="I72" s="112">
        <v>3.25</v>
      </c>
      <c r="J72" s="113">
        <v>0.49</v>
      </c>
      <c r="K72" s="67">
        <v>3</v>
      </c>
      <c r="L72" s="68" t="s">
        <v>798</v>
      </c>
    </row>
    <row r="73" spans="1:12" ht="42" customHeight="1" x14ac:dyDescent="0.2">
      <c r="A73" s="67">
        <v>65</v>
      </c>
      <c r="B73" s="68" t="s">
        <v>788</v>
      </c>
      <c r="C73" s="67" t="s">
        <v>799</v>
      </c>
      <c r="D73" s="69" t="s">
        <v>800</v>
      </c>
      <c r="E73" s="70" t="s">
        <v>801</v>
      </c>
      <c r="F73" s="71" t="s">
        <v>559</v>
      </c>
      <c r="G73" s="67" t="s">
        <v>560</v>
      </c>
      <c r="H73" s="67">
        <v>30</v>
      </c>
      <c r="I73" s="112">
        <v>3.9</v>
      </c>
      <c r="J73" s="113">
        <v>0.59</v>
      </c>
      <c r="K73" s="67">
        <v>3</v>
      </c>
      <c r="L73" s="68" t="s">
        <v>710</v>
      </c>
    </row>
    <row r="74" spans="1:12" ht="42" customHeight="1" x14ac:dyDescent="0.2">
      <c r="A74" s="67">
        <v>66</v>
      </c>
      <c r="B74" s="68" t="s">
        <v>788</v>
      </c>
      <c r="C74" s="67" t="s">
        <v>802</v>
      </c>
      <c r="D74" s="69" t="s">
        <v>803</v>
      </c>
      <c r="E74" s="70" t="s">
        <v>804</v>
      </c>
      <c r="F74" s="71" t="s">
        <v>559</v>
      </c>
      <c r="G74" s="67" t="s">
        <v>603</v>
      </c>
      <c r="H74" s="67">
        <v>10</v>
      </c>
      <c r="I74" s="112">
        <v>1.2</v>
      </c>
      <c r="J74" s="113">
        <v>0.18</v>
      </c>
      <c r="K74" s="67">
        <v>1</v>
      </c>
      <c r="L74" s="68" t="s">
        <v>710</v>
      </c>
    </row>
    <row r="75" spans="1:12" ht="42" customHeight="1" x14ac:dyDescent="0.2">
      <c r="A75" s="67">
        <v>67</v>
      </c>
      <c r="B75" s="68" t="s">
        <v>788</v>
      </c>
      <c r="C75" s="67" t="s">
        <v>805</v>
      </c>
      <c r="D75" s="69" t="s">
        <v>806</v>
      </c>
      <c r="E75" s="70" t="s">
        <v>807</v>
      </c>
      <c r="F75" s="71" t="s">
        <v>559</v>
      </c>
      <c r="G75" s="67" t="s">
        <v>586</v>
      </c>
      <c r="H75" s="67">
        <v>22</v>
      </c>
      <c r="I75" s="112">
        <v>2.86</v>
      </c>
      <c r="J75" s="113">
        <v>0.43</v>
      </c>
      <c r="K75" s="67">
        <v>2</v>
      </c>
      <c r="L75" s="68" t="s">
        <v>734</v>
      </c>
    </row>
    <row r="76" spans="1:12" ht="42" customHeight="1" x14ac:dyDescent="0.2">
      <c r="A76" s="67">
        <v>68</v>
      </c>
      <c r="B76" s="68" t="s">
        <v>788</v>
      </c>
      <c r="C76" s="67" t="s">
        <v>808</v>
      </c>
      <c r="D76" s="69" t="s">
        <v>809</v>
      </c>
      <c r="E76" s="70" t="s">
        <v>810</v>
      </c>
      <c r="F76" s="71" t="s">
        <v>559</v>
      </c>
      <c r="G76" s="67" t="s">
        <v>560</v>
      </c>
      <c r="H76" s="67">
        <v>30</v>
      </c>
      <c r="I76" s="112">
        <v>3.6</v>
      </c>
      <c r="J76" s="113">
        <v>0.54</v>
      </c>
      <c r="K76" s="67">
        <v>3</v>
      </c>
      <c r="L76" s="68" t="s">
        <v>811</v>
      </c>
    </row>
    <row r="77" spans="1:12" ht="42" customHeight="1" x14ac:dyDescent="0.2">
      <c r="A77" s="67">
        <v>69</v>
      </c>
      <c r="B77" s="68" t="s">
        <v>788</v>
      </c>
      <c r="C77" s="67" t="s">
        <v>812</v>
      </c>
      <c r="D77" s="69" t="s">
        <v>813</v>
      </c>
      <c r="E77" s="70" t="s">
        <v>814</v>
      </c>
      <c r="F77" s="71" t="s">
        <v>559</v>
      </c>
      <c r="G77" s="67" t="s">
        <v>581</v>
      </c>
      <c r="H77" s="67">
        <v>40</v>
      </c>
      <c r="I77" s="112">
        <v>5.6</v>
      </c>
      <c r="J77" s="113">
        <v>0.84</v>
      </c>
      <c r="K77" s="67">
        <v>4</v>
      </c>
      <c r="L77" s="68" t="s">
        <v>815</v>
      </c>
    </row>
    <row r="78" spans="1:12" ht="42" customHeight="1" x14ac:dyDescent="0.2">
      <c r="A78" s="67">
        <v>70</v>
      </c>
      <c r="B78" s="68" t="s">
        <v>788</v>
      </c>
      <c r="C78" s="67" t="s">
        <v>816</v>
      </c>
      <c r="D78" s="69" t="s">
        <v>817</v>
      </c>
      <c r="E78" s="70" t="s">
        <v>818</v>
      </c>
      <c r="F78" s="71" t="s">
        <v>559</v>
      </c>
      <c r="G78" s="67" t="s">
        <v>586</v>
      </c>
      <c r="H78" s="67">
        <v>18</v>
      </c>
      <c r="I78" s="112">
        <v>2.34</v>
      </c>
      <c r="J78" s="113">
        <v>0.35</v>
      </c>
      <c r="K78" s="67">
        <v>2</v>
      </c>
      <c r="L78" s="68" t="s">
        <v>734</v>
      </c>
    </row>
    <row r="79" spans="1:12" ht="42" customHeight="1" x14ac:dyDescent="0.2">
      <c r="A79" s="67">
        <v>71</v>
      </c>
      <c r="B79" s="68" t="s">
        <v>788</v>
      </c>
      <c r="C79" s="67" t="s">
        <v>819</v>
      </c>
      <c r="D79" s="69" t="s">
        <v>820</v>
      </c>
      <c r="E79" s="70" t="s">
        <v>821</v>
      </c>
      <c r="F79" s="71" t="s">
        <v>559</v>
      </c>
      <c r="G79" s="67" t="s">
        <v>586</v>
      </c>
      <c r="H79" s="67">
        <v>15</v>
      </c>
      <c r="I79" s="112">
        <v>1.95</v>
      </c>
      <c r="J79" s="113">
        <v>0.28999999999999998</v>
      </c>
      <c r="K79" s="67">
        <v>2</v>
      </c>
      <c r="L79" s="68" t="s">
        <v>734</v>
      </c>
    </row>
    <row r="80" spans="1:12" ht="42" customHeight="1" x14ac:dyDescent="0.2">
      <c r="A80" s="67">
        <v>72</v>
      </c>
      <c r="B80" s="68" t="s">
        <v>788</v>
      </c>
      <c r="C80" s="67" t="s">
        <v>822</v>
      </c>
      <c r="D80" s="69" t="s">
        <v>823</v>
      </c>
      <c r="E80" s="70" t="s">
        <v>824</v>
      </c>
      <c r="F80" s="71" t="s">
        <v>559</v>
      </c>
      <c r="G80" s="67" t="s">
        <v>560</v>
      </c>
      <c r="H80" s="67">
        <v>30</v>
      </c>
      <c r="I80" s="112">
        <v>3.9</v>
      </c>
      <c r="J80" s="113">
        <v>0.59</v>
      </c>
      <c r="K80" s="67">
        <v>3</v>
      </c>
      <c r="L80" s="68" t="s">
        <v>825</v>
      </c>
    </row>
    <row r="81" spans="1:12" ht="42" customHeight="1" x14ac:dyDescent="0.2">
      <c r="A81" s="67">
        <v>73</v>
      </c>
      <c r="B81" s="68" t="s">
        <v>788</v>
      </c>
      <c r="C81" s="67" t="s">
        <v>826</v>
      </c>
      <c r="D81" s="69" t="s">
        <v>827</v>
      </c>
      <c r="E81" s="70" t="s">
        <v>828</v>
      </c>
      <c r="F81" s="72" t="s">
        <v>602</v>
      </c>
      <c r="G81" s="67" t="s">
        <v>586</v>
      </c>
      <c r="H81" s="67">
        <v>22</v>
      </c>
      <c r="I81" s="112">
        <v>2.86</v>
      </c>
      <c r="J81" s="113">
        <v>0.43</v>
      </c>
      <c r="K81" s="67">
        <v>3</v>
      </c>
      <c r="L81" s="68" t="s">
        <v>604</v>
      </c>
    </row>
    <row r="82" spans="1:12" ht="42" customHeight="1" x14ac:dyDescent="0.2">
      <c r="A82" s="67">
        <v>74</v>
      </c>
      <c r="B82" s="68" t="s">
        <v>788</v>
      </c>
      <c r="C82" s="67" t="s">
        <v>829</v>
      </c>
      <c r="D82" s="69" t="s">
        <v>830</v>
      </c>
      <c r="E82" s="70" t="s">
        <v>831</v>
      </c>
      <c r="F82" s="71" t="s">
        <v>559</v>
      </c>
      <c r="G82" s="67" t="s">
        <v>603</v>
      </c>
      <c r="H82" s="67">
        <v>10</v>
      </c>
      <c r="I82" s="112">
        <v>1.2</v>
      </c>
      <c r="J82" s="113">
        <v>0.18</v>
      </c>
      <c r="K82" s="67">
        <v>1</v>
      </c>
      <c r="L82" s="68" t="s">
        <v>734</v>
      </c>
    </row>
    <row r="83" spans="1:12" ht="42" customHeight="1" x14ac:dyDescent="0.2">
      <c r="A83" s="67">
        <v>75</v>
      </c>
      <c r="B83" s="68" t="s">
        <v>788</v>
      </c>
      <c r="C83" s="67" t="s">
        <v>832</v>
      </c>
      <c r="D83" s="69" t="s">
        <v>833</v>
      </c>
      <c r="E83" s="70" t="s">
        <v>834</v>
      </c>
      <c r="F83" s="72" t="s">
        <v>602</v>
      </c>
      <c r="G83" s="67" t="s">
        <v>603</v>
      </c>
      <c r="H83" s="67">
        <v>15</v>
      </c>
      <c r="I83" s="112">
        <v>1.8</v>
      </c>
      <c r="J83" s="113">
        <v>0.27</v>
      </c>
      <c r="K83" s="67">
        <v>2</v>
      </c>
      <c r="L83" s="68" t="s">
        <v>604</v>
      </c>
    </row>
    <row r="84" spans="1:12" ht="42" customHeight="1" x14ac:dyDescent="0.2">
      <c r="A84" s="67">
        <v>76</v>
      </c>
      <c r="B84" s="68" t="s">
        <v>788</v>
      </c>
      <c r="C84" s="67" t="s">
        <v>835</v>
      </c>
      <c r="D84" s="69" t="s">
        <v>836</v>
      </c>
      <c r="E84" s="70" t="s">
        <v>837</v>
      </c>
      <c r="F84" s="72" t="s">
        <v>602</v>
      </c>
      <c r="G84" s="67" t="s">
        <v>603</v>
      </c>
      <c r="H84" s="67">
        <v>15</v>
      </c>
      <c r="I84" s="112">
        <v>1.8</v>
      </c>
      <c r="J84" s="113">
        <v>0.27</v>
      </c>
      <c r="K84" s="67">
        <v>2</v>
      </c>
      <c r="L84" s="68" t="s">
        <v>604</v>
      </c>
    </row>
    <row r="85" spans="1:12" ht="42" customHeight="1" x14ac:dyDescent="0.2">
      <c r="A85" s="67">
        <v>77</v>
      </c>
      <c r="B85" s="68" t="s">
        <v>788</v>
      </c>
      <c r="C85" s="67" t="s">
        <v>838</v>
      </c>
      <c r="D85" s="69" t="s">
        <v>839</v>
      </c>
      <c r="E85" s="70" t="s">
        <v>840</v>
      </c>
      <c r="F85" s="72" t="s">
        <v>602</v>
      </c>
      <c r="G85" s="67" t="s">
        <v>586</v>
      </c>
      <c r="H85" s="67">
        <v>18</v>
      </c>
      <c r="I85" s="112">
        <v>2.34</v>
      </c>
      <c r="J85" s="113">
        <v>0.35</v>
      </c>
      <c r="K85" s="67">
        <v>2</v>
      </c>
      <c r="L85" s="68" t="s">
        <v>604</v>
      </c>
    </row>
    <row r="86" spans="1:12" ht="42" customHeight="1" x14ac:dyDescent="0.2">
      <c r="A86" s="67">
        <v>78</v>
      </c>
      <c r="B86" s="68" t="s">
        <v>788</v>
      </c>
      <c r="C86" s="67" t="s">
        <v>841</v>
      </c>
      <c r="D86" s="69" t="s">
        <v>842</v>
      </c>
      <c r="E86" s="70" t="s">
        <v>843</v>
      </c>
      <c r="F86" s="71" t="s">
        <v>559</v>
      </c>
      <c r="G86" s="67" t="s">
        <v>581</v>
      </c>
      <c r="H86" s="67">
        <v>40</v>
      </c>
      <c r="I86" s="112">
        <v>5.2</v>
      </c>
      <c r="J86" s="113">
        <v>0.78</v>
      </c>
      <c r="K86" s="67">
        <v>4</v>
      </c>
      <c r="L86" s="68" t="s">
        <v>844</v>
      </c>
    </row>
    <row r="87" spans="1:12" ht="25.5" customHeight="1" x14ac:dyDescent="0.2">
      <c r="A87" s="125" t="s">
        <v>845</v>
      </c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</row>
    <row r="88" spans="1:12" ht="42" customHeight="1" x14ac:dyDescent="0.2">
      <c r="A88" s="73">
        <v>79</v>
      </c>
      <c r="B88" s="74" t="s">
        <v>846</v>
      </c>
      <c r="C88" s="73" t="s">
        <v>847</v>
      </c>
      <c r="D88" s="75" t="s">
        <v>848</v>
      </c>
      <c r="E88" s="76" t="s">
        <v>849</v>
      </c>
      <c r="F88" s="77" t="s">
        <v>559</v>
      </c>
      <c r="G88" s="73" t="s">
        <v>560</v>
      </c>
      <c r="H88" s="73">
        <v>30</v>
      </c>
      <c r="I88" s="114">
        <v>3.9</v>
      </c>
      <c r="J88" s="115">
        <v>0.59</v>
      </c>
      <c r="K88" s="73">
        <v>3</v>
      </c>
      <c r="L88" s="74" t="s">
        <v>710</v>
      </c>
    </row>
    <row r="89" spans="1:12" ht="42" customHeight="1" x14ac:dyDescent="0.2">
      <c r="A89" s="73">
        <v>80</v>
      </c>
      <c r="B89" s="74" t="s">
        <v>846</v>
      </c>
      <c r="C89" s="73" t="s">
        <v>850</v>
      </c>
      <c r="D89" s="75" t="s">
        <v>851</v>
      </c>
      <c r="E89" s="76" t="s">
        <v>852</v>
      </c>
      <c r="F89" s="77" t="s">
        <v>559</v>
      </c>
      <c r="G89" s="73" t="s">
        <v>586</v>
      </c>
      <c r="H89" s="73">
        <v>18</v>
      </c>
      <c r="I89" s="114">
        <v>2.34</v>
      </c>
      <c r="J89" s="115">
        <v>0.35</v>
      </c>
      <c r="K89" s="73">
        <v>2</v>
      </c>
      <c r="L89" s="74" t="s">
        <v>710</v>
      </c>
    </row>
    <row r="90" spans="1:12" ht="42" customHeight="1" x14ac:dyDescent="0.2">
      <c r="A90" s="73">
        <v>81</v>
      </c>
      <c r="B90" s="74" t="s">
        <v>846</v>
      </c>
      <c r="C90" s="73" t="s">
        <v>853</v>
      </c>
      <c r="D90" s="75" t="s">
        <v>854</v>
      </c>
      <c r="E90" s="76" t="s">
        <v>855</v>
      </c>
      <c r="F90" s="77" t="s">
        <v>559</v>
      </c>
      <c r="G90" s="73" t="s">
        <v>586</v>
      </c>
      <c r="H90" s="73">
        <v>15</v>
      </c>
      <c r="I90" s="114">
        <v>1.95</v>
      </c>
      <c r="J90" s="115">
        <v>0.28999999999999998</v>
      </c>
      <c r="K90" s="73">
        <v>2</v>
      </c>
      <c r="L90" s="74" t="s">
        <v>734</v>
      </c>
    </row>
    <row r="91" spans="1:12" ht="25.5" customHeight="1" x14ac:dyDescent="0.2">
      <c r="A91" s="125" t="s">
        <v>856</v>
      </c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</row>
    <row r="92" spans="1:12" ht="42" customHeight="1" x14ac:dyDescent="0.2">
      <c r="A92" s="79">
        <v>82</v>
      </c>
      <c r="B92" s="80" t="s">
        <v>490</v>
      </c>
      <c r="C92" s="79" t="s">
        <v>857</v>
      </c>
      <c r="D92" s="81" t="s">
        <v>858</v>
      </c>
      <c r="E92" s="82" t="s">
        <v>859</v>
      </c>
      <c r="F92" s="83" t="s">
        <v>559</v>
      </c>
      <c r="G92" s="79" t="s">
        <v>560</v>
      </c>
      <c r="H92" s="79">
        <v>35</v>
      </c>
      <c r="I92" s="116">
        <v>4.55</v>
      </c>
      <c r="J92" s="117">
        <v>0.68</v>
      </c>
      <c r="K92" s="79">
        <v>4</v>
      </c>
      <c r="L92" s="80" t="s">
        <v>710</v>
      </c>
    </row>
    <row r="93" spans="1:12" ht="42" customHeight="1" x14ac:dyDescent="0.2">
      <c r="A93" s="79">
        <v>83</v>
      </c>
      <c r="B93" s="80" t="s">
        <v>490</v>
      </c>
      <c r="C93" s="79" t="s">
        <v>860</v>
      </c>
      <c r="D93" s="81" t="s">
        <v>861</v>
      </c>
      <c r="E93" s="82" t="s">
        <v>862</v>
      </c>
      <c r="F93" s="83" t="s">
        <v>559</v>
      </c>
      <c r="G93" s="79" t="s">
        <v>603</v>
      </c>
      <c r="H93" s="79">
        <v>12</v>
      </c>
      <c r="I93" s="116">
        <v>1.44</v>
      </c>
      <c r="J93" s="117">
        <v>0.22</v>
      </c>
      <c r="K93" s="79">
        <v>1</v>
      </c>
      <c r="L93" s="80" t="s">
        <v>710</v>
      </c>
    </row>
    <row r="94" spans="1:12" ht="25.5" customHeight="1" x14ac:dyDescent="0.2">
      <c r="A94" s="125" t="s">
        <v>863</v>
      </c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</row>
    <row r="95" spans="1:12" ht="42" customHeight="1" x14ac:dyDescent="0.2">
      <c r="A95" s="84">
        <v>84</v>
      </c>
      <c r="B95" s="85" t="s">
        <v>506</v>
      </c>
      <c r="C95" s="84" t="s">
        <v>864</v>
      </c>
      <c r="D95" s="86" t="s">
        <v>865</v>
      </c>
      <c r="E95" s="87" t="s">
        <v>866</v>
      </c>
      <c r="F95" s="88" t="s">
        <v>602</v>
      </c>
      <c r="G95" s="84" t="s">
        <v>560</v>
      </c>
      <c r="H95" s="84">
        <v>35</v>
      </c>
      <c r="I95" s="118">
        <v>4.9000000000000004</v>
      </c>
      <c r="J95" s="119">
        <v>0.74</v>
      </c>
      <c r="K95" s="84">
        <v>4</v>
      </c>
      <c r="L95" s="85" t="s">
        <v>604</v>
      </c>
    </row>
    <row r="96" spans="1:12" ht="42" customHeight="1" x14ac:dyDescent="0.2">
      <c r="A96" s="84">
        <v>85</v>
      </c>
      <c r="B96" s="85" t="s">
        <v>506</v>
      </c>
      <c r="C96" s="84" t="s">
        <v>867</v>
      </c>
      <c r="D96" s="86" t="s">
        <v>868</v>
      </c>
      <c r="E96" s="87" t="s">
        <v>869</v>
      </c>
      <c r="F96" s="88" t="s">
        <v>602</v>
      </c>
      <c r="G96" s="84" t="s">
        <v>581</v>
      </c>
      <c r="H96" s="84">
        <v>40</v>
      </c>
      <c r="I96" s="118">
        <v>5.6</v>
      </c>
      <c r="J96" s="119">
        <v>0.84</v>
      </c>
      <c r="K96" s="84">
        <v>4</v>
      </c>
      <c r="L96" s="85" t="s">
        <v>870</v>
      </c>
    </row>
    <row r="97" spans="1:12" ht="42" customHeight="1" x14ac:dyDescent="0.2">
      <c r="A97" s="84">
        <v>86</v>
      </c>
      <c r="B97" s="85" t="s">
        <v>506</v>
      </c>
      <c r="C97" s="84" t="s">
        <v>871</v>
      </c>
      <c r="D97" s="86" t="s">
        <v>872</v>
      </c>
      <c r="E97" s="87" t="s">
        <v>873</v>
      </c>
      <c r="F97" s="88" t="s">
        <v>602</v>
      </c>
      <c r="G97" s="84" t="s">
        <v>560</v>
      </c>
      <c r="H97" s="84">
        <v>30</v>
      </c>
      <c r="I97" s="118">
        <v>4.2</v>
      </c>
      <c r="J97" s="119">
        <v>0.63</v>
      </c>
      <c r="K97" s="84">
        <v>3</v>
      </c>
      <c r="L97" s="85" t="s">
        <v>604</v>
      </c>
    </row>
    <row r="99" spans="1:12" ht="34.5" customHeight="1" x14ac:dyDescent="0.2">
      <c r="A99" s="122" t="s">
        <v>874</v>
      </c>
      <c r="B99" s="122"/>
      <c r="C99" s="122"/>
      <c r="D99" s="122"/>
      <c r="E99" s="122"/>
      <c r="F99" s="122"/>
      <c r="G99" s="122"/>
      <c r="H99" s="89">
        <f>SUM(H4:H97)</f>
        <v>2713</v>
      </c>
      <c r="I99" s="90">
        <f>SUM(I4:I97)</f>
        <v>343.74999999999989</v>
      </c>
      <c r="J99" s="90">
        <f>SUM(J4:J97)</f>
        <v>51.600000000000044</v>
      </c>
      <c r="K99" s="91"/>
      <c r="L99" s="91"/>
    </row>
    <row r="101" spans="1:12" ht="30" x14ac:dyDescent="0.2">
      <c r="A101" s="92" t="s">
        <v>875</v>
      </c>
      <c r="B101" s="92" t="s">
        <v>876</v>
      </c>
      <c r="C101" s="92" t="s">
        <v>877</v>
      </c>
      <c r="D101" s="92" t="s">
        <v>878</v>
      </c>
      <c r="E101" s="92" t="s">
        <v>879</v>
      </c>
    </row>
    <row r="102" spans="1:12" x14ac:dyDescent="0.2">
      <c r="A102" s="123" t="s">
        <v>880</v>
      </c>
      <c r="B102" s="123"/>
      <c r="C102" s="123"/>
      <c r="D102" s="123"/>
      <c r="E102" s="123"/>
    </row>
    <row r="103" spans="1:12" x14ac:dyDescent="0.2">
      <c r="A103" s="93" t="s">
        <v>881</v>
      </c>
      <c r="B103" s="94">
        <f>COUNTIF(F4:F97,"Must Have")</f>
        <v>68</v>
      </c>
      <c r="C103" s="95">
        <f>SUMPRODUCT((F4:F97="Must Have")*(I4:I97))</f>
        <v>287.37999999999988</v>
      </c>
      <c r="D103" s="95">
        <f>SUMPRODUCT((F4:F97="Must Have")*(J4:J97))</f>
        <v>43.140000000000008</v>
      </c>
      <c r="E103" s="94" t="s">
        <v>882</v>
      </c>
    </row>
    <row r="104" spans="1:12" x14ac:dyDescent="0.2">
      <c r="A104" s="96" t="s">
        <v>883</v>
      </c>
      <c r="B104" s="97">
        <f>COUNTIF(F4:F97,"Good to Have")</f>
        <v>18</v>
      </c>
      <c r="C104" s="98">
        <f>SUMPRODUCT((F4:F97="Good to Have")*(I4:I97))</f>
        <v>56.36999999999999</v>
      </c>
      <c r="D104" s="98">
        <f>SUMPRODUCT((F4:F97="Good to Have")*(J4:J97))</f>
        <v>8.4599999999999991</v>
      </c>
      <c r="E104" s="97" t="s">
        <v>884</v>
      </c>
    </row>
    <row r="105" spans="1:12" x14ac:dyDescent="0.2">
      <c r="A105" s="99" t="s">
        <v>885</v>
      </c>
      <c r="B105" s="99">
        <f>B103+B104</f>
        <v>86</v>
      </c>
      <c r="C105" s="100">
        <f>C103+C104</f>
        <v>343.74999999999989</v>
      </c>
      <c r="D105" s="100">
        <f>D103+D104</f>
        <v>51.600000000000009</v>
      </c>
      <c r="E105" s="99" t="s">
        <v>886</v>
      </c>
    </row>
    <row r="107" spans="1:12" x14ac:dyDescent="0.2">
      <c r="A107" s="124" t="s">
        <v>887</v>
      </c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</row>
    <row r="108" spans="1:12" s="103" customFormat="1" x14ac:dyDescent="0.2">
      <c r="A108" s="121" t="s">
        <v>888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</row>
    <row r="109" spans="1:12" s="103" customFormat="1" x14ac:dyDescent="0.2">
      <c r="A109" s="121" t="s">
        <v>889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</row>
    <row r="110" spans="1:12" s="103" customFormat="1" x14ac:dyDescent="0.2">
      <c r="A110" s="121" t="s">
        <v>890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</row>
    <row r="111" spans="1:12" s="103" customFormat="1" x14ac:dyDescent="0.2">
      <c r="A111" s="121" t="s">
        <v>891</v>
      </c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</row>
    <row r="112" spans="1:12" s="103" customFormat="1" x14ac:dyDescent="0.2">
      <c r="A112" s="121" t="s">
        <v>892</v>
      </c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</row>
    <row r="113" spans="1:12" s="103" customFormat="1" x14ac:dyDescent="0.2">
      <c r="A113" s="121" t="s">
        <v>893</v>
      </c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</row>
    <row r="114" spans="1:12" s="103" customFormat="1" x14ac:dyDescent="0.2">
      <c r="A114" s="121" t="s">
        <v>894</v>
      </c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</row>
    <row r="115" spans="1:12" s="103" customFormat="1" x14ac:dyDescent="0.2">
      <c r="A115" s="121" t="s">
        <v>895</v>
      </c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</row>
    <row r="116" spans="1:12" s="103" customFormat="1" x14ac:dyDescent="0.2">
      <c r="A116" s="121" t="s">
        <v>896</v>
      </c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</row>
  </sheetData>
  <mergeCells count="22">
    <mergeCell ref="A1:L1"/>
    <mergeCell ref="A2:L2"/>
    <mergeCell ref="A4:L4"/>
    <mergeCell ref="A26:L26"/>
    <mergeCell ref="A37:L37"/>
    <mergeCell ref="A52:L52"/>
    <mergeCell ref="A69:L69"/>
    <mergeCell ref="A87:L87"/>
    <mergeCell ref="A91:L91"/>
    <mergeCell ref="A94:L94"/>
    <mergeCell ref="A99:G99"/>
    <mergeCell ref="A102:E102"/>
    <mergeCell ref="A107:L107"/>
    <mergeCell ref="A108:L108"/>
    <mergeCell ref="A109:L109"/>
    <mergeCell ref="A115:L115"/>
    <mergeCell ref="A116:L116"/>
    <mergeCell ref="A110:L110"/>
    <mergeCell ref="A111:L111"/>
    <mergeCell ref="A112:L112"/>
    <mergeCell ref="A113:L113"/>
    <mergeCell ref="A114:L11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pane ySplit="2" topLeftCell="A15" activePane="bottomLeft" state="frozen"/>
      <selection pane="bottomLeft" activeCell="H22" sqref="H22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10" customWidth="1"/>
    <col min="4" max="4" width="30" customWidth="1"/>
    <col min="5" max="5" width="55" customWidth="1"/>
    <col min="6" max="6" width="35" customWidth="1"/>
    <col min="7" max="8" width="12" customWidth="1"/>
  </cols>
  <sheetData>
    <row r="1" spans="1:8" ht="34.5" customHeight="1" x14ac:dyDescent="0.2">
      <c r="A1" s="128" t="s">
        <v>897</v>
      </c>
      <c r="B1" s="128"/>
      <c r="C1" s="128"/>
      <c r="D1" s="128"/>
      <c r="E1" s="128"/>
      <c r="F1" s="128"/>
      <c r="G1" s="128"/>
      <c r="H1" s="128"/>
    </row>
    <row r="2" spans="1:8" ht="30" customHeight="1" x14ac:dyDescent="0.2">
      <c r="A2" s="101" t="s">
        <v>0</v>
      </c>
      <c r="B2" s="101" t="s">
        <v>1</v>
      </c>
      <c r="C2" s="101" t="s">
        <v>544</v>
      </c>
      <c r="D2" s="101" t="s">
        <v>545</v>
      </c>
      <c r="E2" s="101" t="s">
        <v>546</v>
      </c>
      <c r="F2" s="101" t="s">
        <v>898</v>
      </c>
      <c r="G2" s="101" t="s">
        <v>547</v>
      </c>
      <c r="H2" s="101" t="s">
        <v>899</v>
      </c>
    </row>
    <row r="3" spans="1:8" ht="48" customHeight="1" x14ac:dyDescent="0.2">
      <c r="A3" s="48">
        <v>1</v>
      </c>
      <c r="B3" s="49" t="s">
        <v>639</v>
      </c>
      <c r="C3" s="48" t="s">
        <v>640</v>
      </c>
      <c r="D3" s="50" t="s">
        <v>641</v>
      </c>
      <c r="E3" s="49" t="s">
        <v>900</v>
      </c>
      <c r="F3" s="49" t="s">
        <v>901</v>
      </c>
      <c r="G3" s="52" t="s">
        <v>559</v>
      </c>
      <c r="H3" s="53">
        <v>5.85</v>
      </c>
    </row>
    <row r="4" spans="1:8" ht="48" customHeight="1" x14ac:dyDescent="0.2">
      <c r="A4" s="48">
        <v>2</v>
      </c>
      <c r="B4" s="49" t="s">
        <v>639</v>
      </c>
      <c r="C4" s="48" t="s">
        <v>644</v>
      </c>
      <c r="D4" s="50" t="s">
        <v>645</v>
      </c>
      <c r="E4" s="49" t="s">
        <v>902</v>
      </c>
      <c r="F4" s="49" t="s">
        <v>903</v>
      </c>
      <c r="G4" s="52" t="s">
        <v>559</v>
      </c>
      <c r="H4" s="53">
        <v>5.2</v>
      </c>
    </row>
    <row r="5" spans="1:8" ht="48" customHeight="1" x14ac:dyDescent="0.2">
      <c r="A5" s="48">
        <v>3</v>
      </c>
      <c r="B5" s="49" t="s">
        <v>639</v>
      </c>
      <c r="C5" s="48" t="s">
        <v>648</v>
      </c>
      <c r="D5" s="50" t="s">
        <v>649</v>
      </c>
      <c r="E5" s="49" t="s">
        <v>904</v>
      </c>
      <c r="F5" s="49" t="s">
        <v>905</v>
      </c>
      <c r="G5" s="52" t="s">
        <v>559</v>
      </c>
      <c r="H5" s="53">
        <v>4.55</v>
      </c>
    </row>
    <row r="6" spans="1:8" ht="48" customHeight="1" x14ac:dyDescent="0.2">
      <c r="A6" s="48">
        <v>4</v>
      </c>
      <c r="B6" s="49" t="s">
        <v>639</v>
      </c>
      <c r="C6" s="48" t="s">
        <v>652</v>
      </c>
      <c r="D6" s="50" t="s">
        <v>653</v>
      </c>
      <c r="E6" s="49" t="s">
        <v>906</v>
      </c>
      <c r="F6" s="49" t="s">
        <v>907</v>
      </c>
      <c r="G6" s="52" t="s">
        <v>559</v>
      </c>
      <c r="H6" s="53">
        <v>6.5</v>
      </c>
    </row>
    <row r="7" spans="1:8" ht="48" customHeight="1" x14ac:dyDescent="0.2">
      <c r="A7" s="48">
        <v>5</v>
      </c>
      <c r="B7" s="49" t="s">
        <v>639</v>
      </c>
      <c r="C7" s="48" t="s">
        <v>656</v>
      </c>
      <c r="D7" s="50" t="s">
        <v>657</v>
      </c>
      <c r="E7" s="49" t="s">
        <v>908</v>
      </c>
      <c r="F7" s="49" t="s">
        <v>909</v>
      </c>
      <c r="G7" s="52" t="s">
        <v>559</v>
      </c>
      <c r="H7" s="53">
        <v>2.34</v>
      </c>
    </row>
    <row r="8" spans="1:8" ht="48" customHeight="1" x14ac:dyDescent="0.2">
      <c r="A8" s="48">
        <v>6</v>
      </c>
      <c r="B8" s="49" t="s">
        <v>639</v>
      </c>
      <c r="C8" s="48" t="s">
        <v>660</v>
      </c>
      <c r="D8" s="50" t="s">
        <v>661</v>
      </c>
      <c r="E8" s="49" t="s">
        <v>910</v>
      </c>
      <c r="F8" s="49" t="s">
        <v>911</v>
      </c>
      <c r="G8" s="52" t="s">
        <v>559</v>
      </c>
      <c r="H8" s="53">
        <v>7.15</v>
      </c>
    </row>
    <row r="9" spans="1:8" ht="48" customHeight="1" x14ac:dyDescent="0.2">
      <c r="A9" s="48">
        <v>7</v>
      </c>
      <c r="B9" s="49" t="s">
        <v>639</v>
      </c>
      <c r="C9" s="48" t="s">
        <v>664</v>
      </c>
      <c r="D9" s="50" t="s">
        <v>665</v>
      </c>
      <c r="E9" s="49" t="s">
        <v>912</v>
      </c>
      <c r="F9" s="49" t="s">
        <v>913</v>
      </c>
      <c r="G9" s="52" t="s">
        <v>559</v>
      </c>
      <c r="H9" s="53">
        <v>4.55</v>
      </c>
    </row>
    <row r="10" spans="1:8" ht="48" customHeight="1" x14ac:dyDescent="0.2">
      <c r="A10" s="48">
        <v>8</v>
      </c>
      <c r="B10" s="49" t="s">
        <v>639</v>
      </c>
      <c r="C10" s="48" t="s">
        <v>668</v>
      </c>
      <c r="D10" s="50" t="s">
        <v>669</v>
      </c>
      <c r="E10" s="49" t="s">
        <v>914</v>
      </c>
      <c r="F10" s="49" t="s">
        <v>915</v>
      </c>
      <c r="G10" s="52" t="s">
        <v>559</v>
      </c>
      <c r="H10" s="53">
        <v>2.86</v>
      </c>
    </row>
    <row r="11" spans="1:8" ht="48" customHeight="1" x14ac:dyDescent="0.2">
      <c r="A11" s="48">
        <v>9</v>
      </c>
      <c r="B11" s="49" t="s">
        <v>639</v>
      </c>
      <c r="C11" s="48" t="s">
        <v>672</v>
      </c>
      <c r="D11" s="50" t="s">
        <v>673</v>
      </c>
      <c r="E11" s="49" t="s">
        <v>916</v>
      </c>
      <c r="F11" s="49" t="s">
        <v>917</v>
      </c>
      <c r="G11" s="52" t="s">
        <v>559</v>
      </c>
      <c r="H11" s="53">
        <v>4.55</v>
      </c>
    </row>
    <row r="12" spans="1:8" ht="48" customHeight="1" x14ac:dyDescent="0.2">
      <c r="A12" s="48">
        <v>10</v>
      </c>
      <c r="B12" s="49" t="s">
        <v>639</v>
      </c>
      <c r="C12" s="48" t="s">
        <v>676</v>
      </c>
      <c r="D12" s="50" t="s">
        <v>677</v>
      </c>
      <c r="E12" s="49" t="s">
        <v>918</v>
      </c>
      <c r="F12" s="49" t="s">
        <v>919</v>
      </c>
      <c r="G12" s="52" t="s">
        <v>559</v>
      </c>
      <c r="H12" s="53">
        <v>3.64</v>
      </c>
    </row>
    <row r="13" spans="1:8" ht="48" customHeight="1" x14ac:dyDescent="0.2">
      <c r="A13" s="41">
        <v>11</v>
      </c>
      <c r="B13" s="42" t="s">
        <v>555</v>
      </c>
      <c r="C13" s="41" t="s">
        <v>592</v>
      </c>
      <c r="D13" s="43" t="s">
        <v>593</v>
      </c>
      <c r="E13" s="42" t="s">
        <v>920</v>
      </c>
      <c r="F13" s="42" t="s">
        <v>921</v>
      </c>
      <c r="G13" s="45" t="s">
        <v>559</v>
      </c>
      <c r="H13" s="46">
        <v>5.85</v>
      </c>
    </row>
    <row r="14" spans="1:8" ht="48" customHeight="1" x14ac:dyDescent="0.2">
      <c r="A14" s="41">
        <v>12</v>
      </c>
      <c r="B14" s="42" t="s">
        <v>555</v>
      </c>
      <c r="C14" s="41" t="s">
        <v>619</v>
      </c>
      <c r="D14" s="43" t="s">
        <v>620</v>
      </c>
      <c r="E14" s="42" t="s">
        <v>922</v>
      </c>
      <c r="F14" s="42" t="s">
        <v>923</v>
      </c>
      <c r="G14" s="45" t="s">
        <v>559</v>
      </c>
      <c r="H14" s="46">
        <v>2.86</v>
      </c>
    </row>
    <row r="15" spans="1:8" ht="48" customHeight="1" x14ac:dyDescent="0.2">
      <c r="A15" s="41">
        <v>13</v>
      </c>
      <c r="B15" s="42" t="s">
        <v>555</v>
      </c>
      <c r="C15" s="41" t="s">
        <v>623</v>
      </c>
      <c r="D15" s="43" t="s">
        <v>285</v>
      </c>
      <c r="E15" s="42" t="s">
        <v>924</v>
      </c>
      <c r="F15" s="42" t="s">
        <v>925</v>
      </c>
      <c r="G15" s="45" t="s">
        <v>559</v>
      </c>
      <c r="H15" s="46">
        <v>2.6</v>
      </c>
    </row>
    <row r="16" spans="1:8" ht="48" customHeight="1" x14ac:dyDescent="0.2">
      <c r="A16" s="54">
        <v>14</v>
      </c>
      <c r="B16" s="55" t="s">
        <v>681</v>
      </c>
      <c r="C16" s="54" t="s">
        <v>711</v>
      </c>
      <c r="D16" s="56" t="s">
        <v>926</v>
      </c>
      <c r="E16" s="55" t="s">
        <v>927</v>
      </c>
      <c r="F16" s="55" t="s">
        <v>928</v>
      </c>
      <c r="G16" s="58" t="s">
        <v>559</v>
      </c>
      <c r="H16" s="59">
        <v>6.5</v>
      </c>
    </row>
    <row r="17" spans="1:8" ht="48" customHeight="1" x14ac:dyDescent="0.2">
      <c r="A17" s="54">
        <v>15</v>
      </c>
      <c r="B17" s="55" t="s">
        <v>681</v>
      </c>
      <c r="C17" s="54" t="s">
        <v>720</v>
      </c>
      <c r="D17" s="56" t="s">
        <v>339</v>
      </c>
      <c r="E17" s="55" t="s">
        <v>929</v>
      </c>
      <c r="F17" s="55" t="s">
        <v>930</v>
      </c>
      <c r="G17" s="58" t="s">
        <v>559</v>
      </c>
      <c r="H17" s="59">
        <v>2.86</v>
      </c>
    </row>
    <row r="18" spans="1:8" ht="48" customHeight="1" x14ac:dyDescent="0.2">
      <c r="A18" s="54">
        <v>16</v>
      </c>
      <c r="B18" s="55" t="s">
        <v>681</v>
      </c>
      <c r="C18" s="54" t="s">
        <v>723</v>
      </c>
      <c r="D18" s="56" t="s">
        <v>342</v>
      </c>
      <c r="E18" s="55" t="s">
        <v>931</v>
      </c>
      <c r="F18" s="55" t="s">
        <v>932</v>
      </c>
      <c r="G18" s="58" t="s">
        <v>559</v>
      </c>
      <c r="H18" s="59">
        <v>1.44</v>
      </c>
    </row>
    <row r="19" spans="1:8" ht="48" customHeight="1" x14ac:dyDescent="0.2">
      <c r="A19" s="73">
        <v>17</v>
      </c>
      <c r="B19" s="74" t="s">
        <v>846</v>
      </c>
      <c r="C19" s="73" t="s">
        <v>847</v>
      </c>
      <c r="D19" s="75" t="s">
        <v>848</v>
      </c>
      <c r="E19" s="74" t="s">
        <v>933</v>
      </c>
      <c r="F19" s="74" t="s">
        <v>934</v>
      </c>
      <c r="G19" s="77" t="s">
        <v>559</v>
      </c>
      <c r="H19" s="78">
        <v>3.9</v>
      </c>
    </row>
    <row r="20" spans="1:8" ht="48" customHeight="1" x14ac:dyDescent="0.2">
      <c r="A20" s="73">
        <v>18</v>
      </c>
      <c r="B20" s="74" t="s">
        <v>846</v>
      </c>
      <c r="C20" s="73" t="s">
        <v>850</v>
      </c>
      <c r="D20" s="75" t="s">
        <v>851</v>
      </c>
      <c r="E20" s="74" t="s">
        <v>935</v>
      </c>
      <c r="F20" s="74" t="s">
        <v>936</v>
      </c>
      <c r="G20" s="77" t="s">
        <v>559</v>
      </c>
      <c r="H20" s="78">
        <v>2.34</v>
      </c>
    </row>
    <row r="21" spans="1:8" ht="48" customHeight="1" x14ac:dyDescent="0.2">
      <c r="A21" s="73">
        <v>19</v>
      </c>
      <c r="B21" s="74" t="s">
        <v>846</v>
      </c>
      <c r="C21" s="73" t="s">
        <v>853</v>
      </c>
      <c r="D21" s="75" t="s">
        <v>854</v>
      </c>
      <c r="E21" s="74" t="s">
        <v>488</v>
      </c>
      <c r="F21" s="74" t="s">
        <v>937</v>
      </c>
      <c r="G21" s="77" t="s">
        <v>559</v>
      </c>
      <c r="H21" s="78">
        <v>1.95</v>
      </c>
    </row>
    <row r="22" spans="1:8" x14ac:dyDescent="0.2">
      <c r="A22" s="129" t="s">
        <v>938</v>
      </c>
      <c r="B22" s="129"/>
      <c r="C22" s="129"/>
      <c r="D22" s="129"/>
      <c r="E22" s="129"/>
      <c r="F22" s="129"/>
      <c r="G22" s="129"/>
      <c r="H22" s="102">
        <f>SUM(H3:H21)</f>
        <v>77.490000000000009</v>
      </c>
    </row>
  </sheetData>
  <mergeCells count="2">
    <mergeCell ref="A1:H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 (Unchanged)</vt:lpstr>
      <vt:lpstr>Costed Proposal – OPD+IP+Trauma</vt:lpstr>
      <vt:lpstr>Added Modules (Trauma+Ortho)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t25757</cp:lastModifiedBy>
  <cp:revision>0</cp:revision>
  <dcterms:created xsi:type="dcterms:W3CDTF">2026-04-04T20:05:03Z</dcterms:created>
  <dcterms:modified xsi:type="dcterms:W3CDTF">2026-08-16T10:13:32Z</dcterms:modified>
  <dc:language>en-US</dc:language>
</cp:coreProperties>
</file>